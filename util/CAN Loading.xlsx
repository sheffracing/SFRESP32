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in BUS" sheetId="1" r:id="rId4"/>
    <sheet state="visible" name="Main BUS Message" sheetId="2"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
      <text>
        <t xml:space="preserve">pls use 3 hex digits when adding new codes, otherwise the matching won't work between the 2 sheets
	-Finn A Jones</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29">
      <text>
        <t xml:space="preserve">why start 32 doc mistake??-&gt;
	-Finn A Jones</t>
      </text>
    </comment>
    <comment authorId="0" ref="E4">
      <text>
        <t xml:space="preserve">Try and stick to "spare" or "reserved"
if we define it and it is unused then spare. if we cant choose and unused then "reserved"
	-Cole Perera</t>
      </text>
    </comment>
    <comment authorId="0" ref="F38">
      <text>
        <t xml:space="preserve">This value determines the maximum allowable brake current
on the DC side. With this command the BMS can limit the
maximum allowable battery charge current.
The value has to be multiplied by 10 before sending. Only
negative currents are accepted.
	-Finn A Jones
min -850 max 0 according to dbc
	-Finn A Jones</t>
      </text>
    </comment>
    <comment authorId="0" ref="F35">
      <text>
        <t xml:space="preserve">This value determines the maximum allowable drive current on
the DC side. With this command the BMS can limit the
maximum allowable battery discharge current.
The value has to be multiplied by 10 before sending.
	-Finn A Jones
0 to 850
	-Finn A Jones</t>
      </text>
    </comment>
    <comment authorId="0" ref="F18">
      <text>
        <t xml:space="preserve">Targets the relative brake current of the motor. It will result
negative torque relatively to the forward direction of the motor.
This value must be between 0 and 100 and must be multiplied
by 10 before sending Gives you a freedom to send values
between 0% and 100,0%. You do not need to know the motor
limit parameters.
This value must be between 0 and 100 and has to be multiplied
by 10 before sending
	-Finn A Jones</t>
      </text>
    </comment>
    <comment authorId="0" ref="F15">
      <text>
        <t xml:space="preserve">from the docs: ""This command sets a relative AC current to the minimum and
maximum limits set by configuration. This achieves the same
function as the “Set AC current” command. Gives you a freedom
to send values between -100,0% and 100,0%. You do not need
to know the motor limit parameters.
This value must be between -100 and 100 and must be
multiplied by 10 before sending.
""
	-Finn A Jones</t>
      </text>
    </comment>
    <comment authorId="0" ref="F12">
      <text>
        <t xml:space="preserve">Enabled only if encoder is used as position sensor, multiply value by 10 before sending
	-Finn A Jones</t>
      </text>
    </comment>
    <comment authorId="0" ref="F9">
      <text>
        <t xml:space="preserve">ERPM = Motor RPM * Number of the motor pole pairs
	-Finn A Jones</t>
      </text>
    </comment>
    <comment authorId="0" ref="F3">
      <text>
        <t xml:space="preserve">Must not be above the limits of the inverter and must be multiplied by 10 before sending. Sign corresponds to direction of torque, correlates to motor AC current, (refer to the motor parameters for the correlation (??))
	-Finn A Jones</t>
      </text>
    </comment>
    <comment authorId="0" ref="F84">
      <text>
        <t xml:space="preserve">Indicates whether the drive enable limitation is active or inactive.
Used for software development purposes. For true indication
of the drive state please use byte 3, bit 24 of this message.
	-Finn A Jones</t>
      </text>
    </comment>
    <comment authorId="0" ref="F63">
      <text>
        <t xml:space="preserve">0x00 : NO FAULTS
0x01 : Overvoltage - The input voltage is higher than the set
maximum.
0x02 : Undervoltage - The input voltage is lower than the set
minimum.
0x03 : DRV - Transistor or transistor drive error
0x04 : ABS. Overcurrent - The AC current is higher than the
set absolute maximum current.
0x05 : CTLR Overtemp. - The controller temperature is higher
than the set maximum.
0x06 : Motor Overtemp. - The motor temperature is higher than
the set maximum.
0x07 : Sensor wire fault - Something went wrong with the
sensor differential signals.
0x08 : Sensor general fault - An error occurred while
processing the sensor signals
0x09 : CAN Command error - CAN message received contains
parameter out of boundaries
0x0A : Analog input error – Redundant output out of range
	-Finn A Jones</t>
      </text>
    </comment>
    <comment authorId="0" ref="F166">
      <text>
        <t xml:space="preserve">Bit #0 (0x01): Discharge relay enabled
Bit #1 (0x02): Charge relay enabled
Bit #2 (0x04): Charger safety enabled
Bit #3 (0x08): Malfunction indicator active (DTC status)
Bit #4 (0x10): Multi-Purpose Input signal status
Bit #5 (0x20): Always-on signal status
Bit #6 (0x40): Is-Ready signal status
Bit #7 (0x80): Is-Charging signal status
Bit #8 (0x0100): Multi-Purpose Input #2 signal status
Bit #9 (0x0200): Multi-Purpose Input #3 signal status
Bit #10 (0x0400): RESERVED
Bit #11 (0x0800): Multi-Purpose Output #2 signal status
Bit #12 (0x1000): Multi-Purpose Output #3 signal status
Bit #13 (0x2000): Multi-Purpose Output #4 signal status
Bit #14 (0x4000): Multi-Purpose Enable signal status
Bit #15 (0x8000): Multi-Purpose Output #1 signal status
from: https://www.orionbms.com/manuals/utility_o2/
	-Finn A Jones</t>
      </text>
    </comment>
  </commentList>
</comments>
</file>

<file path=xl/sharedStrings.xml><?xml version="1.0" encoding="utf-8"?>
<sst xmlns="http://schemas.openxmlformats.org/spreadsheetml/2006/main" count="1533" uniqueCount="581">
  <si>
    <t>Main Bus</t>
  </si>
  <si>
    <t>V3.0</t>
  </si>
  <si>
    <t>Total Loading Race:</t>
  </si>
  <si>
    <t>Data Logger Max Rate:</t>
  </si>
  <si>
    <t>Convert to dbc:</t>
  </si>
  <si>
    <t>10 - Software</t>
  </si>
  <si>
    <t>Total Loading Charge:</t>
  </si>
  <si>
    <t>Telemetry Max Rate:</t>
  </si>
  <si>
    <t>Documented?</t>
  </si>
  <si>
    <t>ID</t>
  </si>
  <si>
    <t>Name</t>
  </si>
  <si>
    <t>Rate (ms)</t>
  </si>
  <si>
    <t>Length (Bytes)</t>
  </si>
  <si>
    <t>Loading (%)</t>
  </si>
  <si>
    <t>Sender</t>
  </si>
  <si>
    <t>Reciever</t>
  </si>
  <si>
    <t>In Use Race</t>
  </si>
  <si>
    <t>In Use Charge</t>
  </si>
  <si>
    <t>Description</t>
  </si>
  <si>
    <t>0x024</t>
  </si>
  <si>
    <t>SetCurrent</t>
  </si>
  <si>
    <t>Debug</t>
  </si>
  <si>
    <t>Inverter</t>
  </si>
  <si>
    <t>Set AC Current - Current (2-byte)</t>
  </si>
  <si>
    <t>0x044</t>
  </si>
  <si>
    <t>SetBreakCurrent</t>
  </si>
  <si>
    <t>Set AC Break Current - Current (2-byte, x10)</t>
  </si>
  <si>
    <t>0x064</t>
  </si>
  <si>
    <t>SetERPM</t>
  </si>
  <si>
    <t>Set ERPM - ERPM (4-byte)</t>
  </si>
  <si>
    <t>0x084</t>
  </si>
  <si>
    <t>SetPostion</t>
  </si>
  <si>
    <t xml:space="preserve">Set Position (hold motor at angle in degrees if encoder exists) - Angle (2-byte, x10) </t>
  </si>
  <si>
    <t>0x0C4</t>
  </si>
  <si>
    <t>SetRelativeBreak</t>
  </si>
  <si>
    <t>Set relative break current</t>
  </si>
  <si>
    <t>0x0E4</t>
  </si>
  <si>
    <t>SetDigOut</t>
  </si>
  <si>
    <t>Set digital output</t>
  </si>
  <si>
    <t>0x104</t>
  </si>
  <si>
    <t>SetCurrentMaxAC</t>
  </si>
  <si>
    <t>Set max AC current</t>
  </si>
  <si>
    <t>0x124</t>
  </si>
  <si>
    <t>SetBreakCurrentMax</t>
  </si>
  <si>
    <t>Set max AC break current</t>
  </si>
  <si>
    <t>0x144</t>
  </si>
  <si>
    <t>SetCurrentMaxDC</t>
  </si>
  <si>
    <t>Set max DC current</t>
  </si>
  <si>
    <t>0x164</t>
  </si>
  <si>
    <t>SetBreakCurrentMaxDC</t>
  </si>
  <si>
    <t>Set max DC break current</t>
  </si>
  <si>
    <t>0x016</t>
  </si>
  <si>
    <t>StatusAPPS</t>
  </si>
  <si>
    <t>APPS</t>
  </si>
  <si>
    <t>Logger</t>
  </si>
  <si>
    <t>MCU Status Message</t>
  </si>
  <si>
    <t>0x081</t>
  </si>
  <si>
    <t>StatusAPPSSensor</t>
  </si>
  <si>
    <t>Screen</t>
  </si>
  <si>
    <t>APPS Sensor Status</t>
  </si>
  <si>
    <t>0x0A4</t>
  </si>
  <si>
    <t>SetRelativeCurrent</t>
  </si>
  <si>
    <t>Set Relative current</t>
  </si>
  <si>
    <t>0x184</t>
  </si>
  <si>
    <t>DriveEnable</t>
  </si>
  <si>
    <t>Drive Enable</t>
  </si>
  <si>
    <t>0x6A0</t>
  </si>
  <si>
    <t>CellVoltages1</t>
  </si>
  <si>
    <t>BMS</t>
  </si>
  <si>
    <t>All cell voltages from BMS</t>
  </si>
  <si>
    <t>0x6A1</t>
  </si>
  <si>
    <t>CellTemps</t>
  </si>
  <si>
    <t>All cell temperatures from BMS</t>
  </si>
  <si>
    <t>0x6B0</t>
  </si>
  <si>
    <t>BMSData1</t>
  </si>
  <si>
    <t>BMS Data Message</t>
  </si>
  <si>
    <t>0x6B1</t>
  </si>
  <si>
    <t>BMSData2</t>
  </si>
  <si>
    <t>0x6B2</t>
  </si>
  <si>
    <t>Pack Voltage</t>
  </si>
  <si>
    <t>Pack Voltages from BMS</t>
  </si>
  <si>
    <t>0x6B3</t>
  </si>
  <si>
    <t>Pack Temperature</t>
  </si>
  <si>
    <t>Pack Temperatures from BMS</t>
  </si>
  <si>
    <t>0x6B4</t>
  </si>
  <si>
    <t>CellVoltages2</t>
  </si>
  <si>
    <t>ID Reserved for BMS</t>
  </si>
  <si>
    <t>0x6B5</t>
  </si>
  <si>
    <t>CellVoltages3</t>
  </si>
  <si>
    <t>0x6B6</t>
  </si>
  <si>
    <t>BMSSpare1</t>
  </si>
  <si>
    <t>-</t>
  </si>
  <si>
    <t>0x6B7</t>
  </si>
  <si>
    <t>BMSSpare2</t>
  </si>
  <si>
    <t>0x6B8</t>
  </si>
  <si>
    <t>BMSSpare3</t>
  </si>
  <si>
    <t>0x6B9</t>
  </si>
  <si>
    <t>BMSSpare4</t>
  </si>
  <si>
    <t>0x6BA</t>
  </si>
  <si>
    <t>BMSSpare5</t>
  </si>
  <si>
    <t>0x6BB</t>
  </si>
  <si>
    <t>BMSSpare6</t>
  </si>
  <si>
    <t>0x6BC</t>
  </si>
  <si>
    <t>BMSSpare7</t>
  </si>
  <si>
    <t>0x6BD</t>
  </si>
  <si>
    <t>BMSSpare8</t>
  </si>
  <si>
    <t>0x6BE</t>
  </si>
  <si>
    <t>BMSSpare9</t>
  </si>
  <si>
    <t>0x6BF</t>
  </si>
  <si>
    <t>BMSSpare10</t>
  </si>
  <si>
    <t>0x6C0</t>
  </si>
  <si>
    <t>BMSSpare11</t>
  </si>
  <si>
    <t>0x6C1</t>
  </si>
  <si>
    <t>BMSSpare12</t>
  </si>
  <si>
    <t>0x010</t>
  </si>
  <si>
    <t>ESPControl</t>
  </si>
  <si>
    <t>Dash</t>
  </si>
  <si>
    <t>Logger/TelemetryCar/IMD_Monitor/APPS</t>
  </si>
  <si>
    <t>ESP Control Message</t>
  </si>
  <si>
    <t>0x018</t>
  </si>
  <si>
    <t>MCUStatusDash</t>
  </si>
  <si>
    <t>0x0FF</t>
  </si>
  <si>
    <t>MCUStatusDebug</t>
  </si>
  <si>
    <t>0x204</t>
  </si>
  <si>
    <t>FLTireTemp1</t>
  </si>
  <si>
    <t>FLTireTemp</t>
  </si>
  <si>
    <t>Front Left Tire temperature sensor channels 1-4</t>
  </si>
  <si>
    <t>0x205</t>
  </si>
  <si>
    <t>FLTireTemp2</t>
  </si>
  <si>
    <t>Front Left Tire temperature sensor channels 5-8</t>
  </si>
  <si>
    <t>0x206</t>
  </si>
  <si>
    <t>FLTireTemp3</t>
  </si>
  <si>
    <t>Front Left Tire temperature sensor channels 9-12</t>
  </si>
  <si>
    <t>0x207</t>
  </si>
  <si>
    <t>FLTireTemp4</t>
  </si>
  <si>
    <t>Front Left Tire temperature sensor channels 13-16</t>
  </si>
  <si>
    <t>0x200</t>
  </si>
  <si>
    <t>FRTireTemp1</t>
  </si>
  <si>
    <t>FRTireTemp</t>
  </si>
  <si>
    <t>Front Right Tire temperature sensor channels 1-4</t>
  </si>
  <si>
    <t>0x201</t>
  </si>
  <si>
    <t>FRTireTemp2</t>
  </si>
  <si>
    <t>Front Right Tire temperature sensor channels 5-8</t>
  </si>
  <si>
    <t>0x202</t>
  </si>
  <si>
    <t>FRTireTemp3</t>
  </si>
  <si>
    <t>Front Right Tire temperature sensor channels 9-12</t>
  </si>
  <si>
    <t>0x203</t>
  </si>
  <si>
    <t>FRTireTemp4</t>
  </si>
  <si>
    <t>Front Right Tire temperature sensor channels 13-16</t>
  </si>
  <si>
    <t>0x013</t>
  </si>
  <si>
    <t>MCUStatusIMDMonitor</t>
  </si>
  <si>
    <t>IMD_Monitor</t>
  </si>
  <si>
    <t>0x040</t>
  </si>
  <si>
    <t>IMDData</t>
  </si>
  <si>
    <t>Bender IMD Measurements</t>
  </si>
  <si>
    <t>0x404</t>
  </si>
  <si>
    <t>InverterData1</t>
  </si>
  <si>
    <t>GenData 1 - ERPM, Duty, Input Voltage</t>
  </si>
  <si>
    <t>0x424</t>
  </si>
  <si>
    <t>InverterData2</t>
  </si>
  <si>
    <t>GenData 2 - AC Current, DC Current</t>
  </si>
  <si>
    <t>0x444</t>
  </si>
  <si>
    <t>InverterData3</t>
  </si>
  <si>
    <t>GenData 3 - Controller Temp., Motor temp., Fault code</t>
  </si>
  <si>
    <t>0x464</t>
  </si>
  <si>
    <t>InverterData4</t>
  </si>
  <si>
    <t>GenData 4 - ID, Iq values</t>
  </si>
  <si>
    <t>0x484</t>
  </si>
  <si>
    <t>InverterData5</t>
  </si>
  <si>
    <t>GenData 5 -  Throttle Sig., Brake Sig., Digi I/O, Drive Enable, Limit Status Bits, CAN Map version</t>
  </si>
  <si>
    <t>0x014</t>
  </si>
  <si>
    <t>MCUStatusLogger</t>
  </si>
  <si>
    <t>MCU Status Message (Not sent to BUS just logged to SD card directly)</t>
  </si>
  <si>
    <t>0x015</t>
  </si>
  <si>
    <t>MCUStatusPDU</t>
  </si>
  <si>
    <t>PDU</t>
  </si>
  <si>
    <t>0x20C</t>
  </si>
  <si>
    <t>RLTireTemp1</t>
  </si>
  <si>
    <t>RLTireTemp</t>
  </si>
  <si>
    <t>Rear Left Tire temperature sensor channels 1-4</t>
  </si>
  <si>
    <t>0x20D</t>
  </si>
  <si>
    <t>RLTireTemp2</t>
  </si>
  <si>
    <t>Rear Left Tire temperature sensor channels 5-8</t>
  </si>
  <si>
    <t>0x20E</t>
  </si>
  <si>
    <t>RLTireTemp3</t>
  </si>
  <si>
    <t>Rear Left Tire temperature sensor channels 9-12</t>
  </si>
  <si>
    <t>0x20F</t>
  </si>
  <si>
    <t>RLTireTemp4</t>
  </si>
  <si>
    <t>Rear Left Tire temperature sensor channels 13-16</t>
  </si>
  <si>
    <t>0x208</t>
  </si>
  <si>
    <t>RRTireTemp1</t>
  </si>
  <si>
    <t>RRTireTemp</t>
  </si>
  <si>
    <t>Rear Right Tire temperature sensor channels 1-4</t>
  </si>
  <si>
    <t>0x209</t>
  </si>
  <si>
    <t>RRTireTemp2</t>
  </si>
  <si>
    <t>Rear Right Tire temperature sensor channels 5-8</t>
  </si>
  <si>
    <t>0x20A</t>
  </si>
  <si>
    <t>RRTireTemp3</t>
  </si>
  <si>
    <t>Rear Right Tire temperature sensor channels 9-12</t>
  </si>
  <si>
    <t>0x20B</t>
  </si>
  <si>
    <t>RRTireTemp4</t>
  </si>
  <si>
    <t>Rear Right Tire temperature sensor channels 13-16</t>
  </si>
  <si>
    <t>0x017</t>
  </si>
  <si>
    <t>MCUStatusScreen</t>
  </si>
  <si>
    <t>0x011</t>
  </si>
  <si>
    <t>MCUStatusTelemCar</t>
  </si>
  <si>
    <t>TelemetryCar</t>
  </si>
  <si>
    <t>0x012</t>
  </si>
  <si>
    <t>MCUStatusTelemPits</t>
  </si>
  <si>
    <t>TelemetryPits</t>
  </si>
  <si>
    <t>Length (bytes)</t>
  </si>
  <si>
    <t>start bit</t>
  </si>
  <si>
    <t>length (bits)</t>
  </si>
  <si>
    <t>Byte Order</t>
  </si>
  <si>
    <t>Signed</t>
  </si>
  <si>
    <t>Gain</t>
  </si>
  <si>
    <t>Offset</t>
  </si>
  <si>
    <t>Unit</t>
  </si>
  <si>
    <t>Min Value</t>
  </si>
  <si>
    <t>Max Value</t>
  </si>
  <si>
    <t>Resolution</t>
  </si>
  <si>
    <t>AC Current SET</t>
  </si>
  <si>
    <r>
      <rPr>
        <rFont val="Arial"/>
        <b/>
        <color theme="1"/>
        <sz val="6.0"/>
      </rPr>
      <t>READ THE COMMENT</t>
    </r>
    <r>
      <rPr>
        <rFont val="Arial"/>
        <color theme="1"/>
        <sz val="6.0"/>
      </rPr>
      <t xml:space="preserve"> </t>
    </r>
    <r>
      <rPr>
        <rFont val="Arial"/>
        <color theme="1"/>
      </rPr>
      <t>Sets the target motor AC Peak current, auto switches to current control mode</t>
    </r>
  </si>
  <si>
    <t>MSB First</t>
  </si>
  <si>
    <t>YES</t>
  </si>
  <si>
    <r>
      <rPr>
        <rFont val="Arial"/>
        <color theme="1"/>
      </rPr>
      <t>A</t>
    </r>
    <r>
      <rPr>
        <rFont val="Arial"/>
        <color theme="1"/>
        <sz val="6.0"/>
      </rPr>
      <t>pk</t>
    </r>
  </si>
  <si>
    <t>Target brake current SET</t>
  </si>
  <si>
    <r>
      <rPr>
        <rFont val="Arial"/>
        <color theme="1"/>
      </rPr>
      <t xml:space="preserve"> </t>
    </r>
    <r>
      <rPr>
        <rFont val="Arial"/>
        <b/>
        <color theme="1"/>
      </rPr>
      <t>ONLY POSITIVE CURRENTS ARE ACCEPTED</t>
    </r>
    <r>
      <rPr>
        <rFont val="Arial"/>
        <color theme="1"/>
      </rPr>
      <t xml:space="preserve"> Targets the brake current of the motor, resulting in negative torque, relative to the forward direction of the motor.</t>
    </r>
  </si>
  <si>
    <r>
      <rPr>
        <rFont val="Arial"/>
        <color theme="1"/>
      </rPr>
      <t>A</t>
    </r>
    <r>
      <rPr>
        <rFont val="Arial"/>
        <color theme="1"/>
        <sz val="6.0"/>
      </rPr>
      <t>pk</t>
    </r>
  </si>
  <si>
    <t>Target ERPM SET</t>
  </si>
  <si>
    <t xml:space="preserve">Enable speed control of motor using target ERPM, Sign is direction of spinning, </t>
  </si>
  <si>
    <t>ERPM</t>
  </si>
  <si>
    <t>Target Position SET</t>
  </si>
  <si>
    <t>Target the desired position of the motor in degrees, hold position of motor</t>
  </si>
  <si>
    <t>degrees</t>
  </si>
  <si>
    <t>Target relative AC current SET</t>
  </si>
  <si>
    <r>
      <rPr>
        <rFont val="Arial"/>
        <color theme="1"/>
      </rPr>
      <t xml:space="preserve">Set relative motor AC current between limits using percentages </t>
    </r>
    <r>
      <rPr>
        <rFont val="Arial"/>
        <b/>
        <color theme="1"/>
        <sz val="7.0"/>
      </rPr>
      <t>COMMENT!</t>
    </r>
  </si>
  <si>
    <t>%</t>
  </si>
  <si>
    <t>-100 -&gt; 100%</t>
  </si>
  <si>
    <t>RelativeBrakeACCurrent</t>
  </si>
  <si>
    <t>Set relative AC motor brake current between limits using %</t>
  </si>
  <si>
    <t>0 -&gt; 100%</t>
  </si>
  <si>
    <t>Digital Output 1</t>
  </si>
  <si>
    <t>Sets the digital output 1 to HIGH (1) or LOW (0) state</t>
  </si>
  <si>
    <t>NO</t>
  </si>
  <si>
    <t>Digital Output 2</t>
  </si>
  <si>
    <t>Sets the digital output 2 to HIGH (1) or LOW (0) state</t>
  </si>
  <si>
    <t>Digital Output 3</t>
  </si>
  <si>
    <t>Sets the digital output 3 to HIGH (1) or LOW (0) state</t>
  </si>
  <si>
    <t>Digital Output 4</t>
  </si>
  <si>
    <t>Sets the digital output 4 to HIGH (1) or LOW (0) state</t>
  </si>
  <si>
    <t>RESERVED</t>
  </si>
  <si>
    <t>The documentation treats this like it doesn't exist</t>
  </si>
  <si>
    <t>Max AC Current SET</t>
  </si>
  <si>
    <t>Set the maximum allowable drive current on the AC side</t>
  </si>
  <si>
    <r>
      <rPr>
        <rFont val="Arial"/>
        <color theme="1"/>
      </rPr>
      <t>A</t>
    </r>
    <r>
      <rPr>
        <rFont val="Arial"/>
        <color theme="1"/>
        <sz val="6.0"/>
      </rPr>
      <t>pk</t>
    </r>
  </si>
  <si>
    <t>Not relevant to the command, fill with FF's or use 2-byte DLC</t>
  </si>
  <si>
    <t>Max brake AC current SET</t>
  </si>
  <si>
    <r>
      <rPr>
        <rFont val="Arial"/>
        <b/>
        <color theme="1"/>
        <sz val="7.0"/>
      </rPr>
      <t>ONLY NEGATIVE CURRENTS ACCEPTED</t>
    </r>
    <r>
      <rPr>
        <rFont val="Arial"/>
        <color theme="1"/>
      </rPr>
      <t>Sets the maximum allowable brake current on the AC side</t>
    </r>
  </si>
  <si>
    <r>
      <rPr>
        <rFont val="Arial"/>
        <color theme="1"/>
      </rPr>
      <t>A</t>
    </r>
    <r>
      <rPr>
        <rFont val="Arial"/>
        <color theme="1"/>
        <sz val="6.0"/>
      </rPr>
      <t>pk</t>
    </r>
  </si>
  <si>
    <t>Max DC current SET</t>
  </si>
  <si>
    <t>Maximum allowable drive current on the DC side, (batt discharge current)</t>
  </si>
  <si>
    <t>A</t>
  </si>
  <si>
    <t>Maximum brake DC current SET</t>
  </si>
  <si>
    <r>
      <rPr>
        <rFont val="Arial"/>
        <b/>
        <color theme="1"/>
        <sz val="6.0"/>
      </rPr>
      <t>ONLY NEGATIVE CURRENTS ACCEPTED</t>
    </r>
    <r>
      <rPr>
        <rFont val="Arial"/>
        <b val="0"/>
        <color theme="1"/>
        <sz val="10.0"/>
      </rPr>
      <t xml:space="preserve"> Maximum allowable brake current DC side</t>
    </r>
  </si>
  <si>
    <t>Drive enable</t>
  </si>
  <si>
    <t>Must be sent periodically to be enabled, 1 = enable, 0 = disable</t>
  </si>
  <si>
    <t>BRestart</t>
  </si>
  <si>
    <t>Restart all MCUs</t>
  </si>
  <si>
    <t>BClearMinMax</t>
  </si>
  <si>
    <t>Clear Min/ Max Recorded Values</t>
  </si>
  <si>
    <t>BClearErrors</t>
  </si>
  <si>
    <t>Clear Any Latched Values</t>
  </si>
  <si>
    <t>Spare</t>
  </si>
  <si>
    <t>ERPM = Motor RPM * number of motor pole pairs</t>
  </si>
  <si>
    <t>Duty Cycle</t>
  </si>
  <si>
    <t>Controller Duty Cycle, +ve = running -ve = regenerating</t>
  </si>
  <si>
    <t>Input Voltage</t>
  </si>
  <si>
    <t>Input voltage DC voltage</t>
  </si>
  <si>
    <t>V</t>
  </si>
  <si>
    <t>AC Current</t>
  </si>
  <si>
    <t>The Motor current +ve = running, -ve = regenerating</t>
  </si>
  <si>
    <r>
      <rPr>
        <rFont val="Arial"/>
        <color theme="1"/>
      </rPr>
      <t>A</t>
    </r>
    <r>
      <rPr>
        <rFont val="Arial"/>
        <color theme="1"/>
        <sz val="6.0"/>
      </rPr>
      <t>pk</t>
    </r>
  </si>
  <si>
    <t>DC Current</t>
  </si>
  <si>
    <t>Current on the DC Side, Motor where +ve = running, -ve = regen</t>
  </si>
  <si>
    <r>
      <rPr>
        <rFont val="Arial"/>
        <color theme="1"/>
      </rPr>
      <t>A</t>
    </r>
    <r>
      <rPr>
        <rFont val="Arial"/>
        <color theme="1"/>
        <sz val="6.0"/>
      </rPr>
      <t>dc</t>
    </r>
  </si>
  <si>
    <t>Filled with FF's for future use</t>
  </si>
  <si>
    <t>~</t>
  </si>
  <si>
    <t>Controller Temperature</t>
  </si>
  <si>
    <t>Temperature of the inverter semicondcutors</t>
  </si>
  <si>
    <t>Degrees C</t>
  </si>
  <si>
    <t>Motor Temperature</t>
  </si>
  <si>
    <t>Temperature of the motor measured by the inverter</t>
  </si>
  <si>
    <t>Fault Code</t>
  </si>
  <si>
    <t>See Comment for list of codes</t>
  </si>
  <si>
    <t>#</t>
  </si>
  <si>
    <t>Id</t>
  </si>
  <si>
    <t>FOC algorithm component Id</t>
  </si>
  <si>
    <r>
      <rPr>
        <rFont val="Arial"/>
        <color theme="1"/>
      </rPr>
      <t>A</t>
    </r>
    <r>
      <rPr>
        <rFont val="Arial"/>
        <color theme="1"/>
        <sz val="6.0"/>
      </rPr>
      <t>pk</t>
    </r>
  </si>
  <si>
    <t xml:space="preserve">Discrepancy with the data sheet, data sheet claims scale is 100, but has to be 1000 to match the min and max post-scale </t>
  </si>
  <si>
    <t>Iq</t>
  </si>
  <si>
    <t>FOC algorithm component Iq</t>
  </si>
  <si>
    <r>
      <rPr>
        <rFont val="Arial"/>
        <color theme="1"/>
      </rPr>
      <t>A</t>
    </r>
    <r>
      <rPr>
        <rFont val="Arial"/>
        <color theme="1"/>
        <sz val="6.0"/>
      </rPr>
      <t>pk</t>
    </r>
  </si>
  <si>
    <t>^</t>
  </si>
  <si>
    <t>Throttle Signal</t>
  </si>
  <si>
    <t>Throttle signal derrived from analog inputs or CAN2</t>
  </si>
  <si>
    <t>Brake Signal</t>
  </si>
  <si>
    <t>Brake Signal derrived frm analog inputs or CAN2</t>
  </si>
  <si>
    <t>Digital In 1</t>
  </si>
  <si>
    <t>1 : Digital Input is active, 0 : Digital input is inactive</t>
  </si>
  <si>
    <t>Digital In 2</t>
  </si>
  <si>
    <t>Digital In 3</t>
  </si>
  <si>
    <t>Digital In 4</t>
  </si>
  <si>
    <t>Digital Out 1</t>
  </si>
  <si>
    <t>1 : Digital output is active, 0 : Digital output is inactive</t>
  </si>
  <si>
    <t>Digital Out 2</t>
  </si>
  <si>
    <t>Digital Out 3</t>
  </si>
  <si>
    <t>Digital Out 4</t>
  </si>
  <si>
    <t>1 : Drive enabled, 0 : Drive Disabled, can be enabled/disabled by the digital input and/or via CAN2</t>
  </si>
  <si>
    <t>Capacitor Temp Limit</t>
  </si>
  <si>
    <t>1 : Cap temp limit active, 0 : Inactive, inverter can limit output power to not overheat internal capacitors (HW V3.6 or newer)</t>
  </si>
  <si>
    <t>DC Current Limit</t>
  </si>
  <si>
    <t>1 : DC Current limit active, 0 : Inactive</t>
  </si>
  <si>
    <t>Drive Enable Limit</t>
  </si>
  <si>
    <t>1 : Drive enable limit active, 0 : Inactive</t>
  </si>
  <si>
    <t>IGBT Acceleration Limit</t>
  </si>
  <si>
    <t>IGBT Temperature Limit</t>
  </si>
  <si>
    <t>1 : Active, 0 : Inactive</t>
  </si>
  <si>
    <t>Input Voltage Limit</t>
  </si>
  <si>
    <t>1 : Active, 0 : inactive</t>
  </si>
  <si>
    <t>TempAccelThrottle</t>
  </si>
  <si>
    <t>Motor Temperature Limit</t>
  </si>
  <si>
    <t>RPM min limit</t>
  </si>
  <si>
    <t>RPM Max limit</t>
  </si>
  <si>
    <t>Power limit</t>
  </si>
  <si>
    <t>Set to 0</t>
  </si>
  <si>
    <t>CAN map version</t>
  </si>
  <si>
    <t>Example, 23 -&gt; (V2,3)</t>
  </si>
  <si>
    <t>tLastTaskTime1ms</t>
  </si>
  <si>
    <t>MCU 1ms Last Task Time</t>
  </si>
  <si>
    <t>us</t>
  </si>
  <si>
    <t>tMaxTaskTime1ms</t>
  </si>
  <si>
    <t>MCU 1ms Max Task Time</t>
  </si>
  <si>
    <t>tLastTaskTime100ms</t>
  </si>
  <si>
    <t>MCU 100ms Last Task Time</t>
  </si>
  <si>
    <t>tMaxTaskTime100ms</t>
  </si>
  <si>
    <t>MCU 100ms Max Task Time</t>
  </si>
  <si>
    <t>tLastTaskTimeBG</t>
  </si>
  <si>
    <t>MCU Background Last Task Time</t>
  </si>
  <si>
    <t>tMaxTaskTimeBG</t>
  </si>
  <si>
    <t>MCU Background Max Task Time</t>
  </si>
  <si>
    <t>tSincePowerUp</t>
  </si>
  <si>
    <t>MCU time since power up</t>
  </si>
  <si>
    <t>s</t>
  </si>
  <si>
    <t>NLastResetReason</t>
  </si>
  <si>
    <t>MCU Last Reset Reason</t>
  </si>
  <si>
    <t>BIMDOff</t>
  </si>
  <si>
    <t>IMD is off</t>
  </si>
  <si>
    <t>BIMDUndervoltage</t>
  </si>
  <si>
    <t>IMD detected undervoltage</t>
  </si>
  <si>
    <t>BIMDStarting</t>
  </si>
  <si>
    <t>IMD is starting up</t>
  </si>
  <si>
    <t>BIMDSSTGood</t>
  </si>
  <si>
    <t>IMD insulation state good during start up</t>
  </si>
  <si>
    <t>BIMDDeviceError</t>
  </si>
  <si>
    <t>IMD device is in fault</t>
  </si>
  <si>
    <t>BIMDGroundConnectionFault</t>
  </si>
  <si>
    <t>IMD connection to ground is broken</t>
  </si>
  <si>
    <t>BIMDInvalidState</t>
  </si>
  <si>
    <t>IMD is in a invalid state</t>
  </si>
  <si>
    <t>RIsolation</t>
  </si>
  <si>
    <t>IMD Insulation measurement</t>
  </si>
  <si>
    <t>ohm</t>
  </si>
  <si>
    <t>NCellID</t>
  </si>
  <si>
    <t>Cell ID</t>
  </si>
  <si>
    <t>VCell</t>
  </si>
  <si>
    <t>Cell instant voltage</t>
  </si>
  <si>
    <t>RCellInternal</t>
  </si>
  <si>
    <t>Cell internal resistance</t>
  </si>
  <si>
    <t>Ohm</t>
  </si>
  <si>
    <t>VCellOC</t>
  </si>
  <si>
    <t>Cell open circuit voltage</t>
  </si>
  <si>
    <t>Checksum</t>
  </si>
  <si>
    <t>IPack</t>
  </si>
  <si>
    <t>Pack current</t>
  </si>
  <si>
    <t>A (0.1?)</t>
  </si>
  <si>
    <t>Pack Inst. Voltage</t>
  </si>
  <si>
    <t>V (0.1?)</t>
  </si>
  <si>
    <t>Pack SOC</t>
  </si>
  <si>
    <t>State of Charge, How much energy remains in the battery</t>
  </si>
  <si>
    <t>Relay State</t>
  </si>
  <si>
    <t>Active State of BMS Outputs and Inputs</t>
  </si>
  <si>
    <t>VPack</t>
  </si>
  <si>
    <t>Pack instant voltage</t>
  </si>
  <si>
    <t>rPackSOC</t>
  </si>
  <si>
    <t>NRelayState</t>
  </si>
  <si>
    <t>IPackDischargeLimit</t>
  </si>
  <si>
    <t>Discharge Current Limit ? (Amps)</t>
  </si>
  <si>
    <t>A (1)</t>
  </si>
  <si>
    <t>THigh</t>
  </si>
  <si>
    <t>??????</t>
  </si>
  <si>
    <t>Low Temperature</t>
  </si>
  <si>
    <t>VPackOpenCircuit</t>
  </si>
  <si>
    <t>Battery pack open circuit voltage</t>
  </si>
  <si>
    <t>VPackMax</t>
  </si>
  <si>
    <t>Battery pack maximum voltage</t>
  </si>
  <si>
    <t>VPackMin</t>
  </si>
  <si>
    <t>Battery pack minimum voltage</t>
  </si>
  <si>
    <t>VBMSSupply12V</t>
  </si>
  <si>
    <t>BMS Supply Voltage 12V</t>
  </si>
  <si>
    <t>TPackHigh</t>
  </si>
  <si>
    <t>High pack temperature</t>
  </si>
  <si>
    <t>degC</t>
  </si>
  <si>
    <t>TPackLow</t>
  </si>
  <si>
    <t>Low pack temperature</t>
  </si>
  <si>
    <t>TPackAvg</t>
  </si>
  <si>
    <t>Average pack temperature</t>
  </si>
  <si>
    <t>TBMSInternal</t>
  </si>
  <si>
    <t>Internal BMS temperature</t>
  </si>
  <si>
    <t>VCellLow</t>
  </si>
  <si>
    <t xml:space="preserve">Low cell voltage </t>
  </si>
  <si>
    <t>VCellHigh</t>
  </si>
  <si>
    <t>High cell voltage</t>
  </si>
  <si>
    <t>VCellAvg</t>
  </si>
  <si>
    <t>Average Cell voltage</t>
  </si>
  <si>
    <t>VCellLowOC</t>
  </si>
  <si>
    <t>Low cell voltage (open circuit)</t>
  </si>
  <si>
    <t>VCellHighOC</t>
  </si>
  <si>
    <t>High cell voltage (open circuit)</t>
  </si>
  <si>
    <t>VCellAvgOC</t>
  </si>
  <si>
    <t>Average cell voltage (open circuit)</t>
  </si>
  <si>
    <t>VCellMaximum</t>
  </si>
  <si>
    <t>Maximum cell voltage</t>
  </si>
  <si>
    <t>VCellMinimum</t>
  </si>
  <si>
    <t>Minimum cell voltage</t>
  </si>
  <si>
    <t>NVCellMaxID</t>
  </si>
  <si>
    <t>Location of cell at max voltage</t>
  </si>
  <si>
    <t>NVCellMinID</t>
  </si>
  <si>
    <t>Location of cell at min voltage</t>
  </si>
  <si>
    <t>rAPPs1</t>
  </si>
  <si>
    <t>Signal from APPS 1</t>
  </si>
  <si>
    <t>rAPPs2</t>
  </si>
  <si>
    <t>Signal from APPS 2</t>
  </si>
  <si>
    <t>rAPPsFinal</t>
  </si>
  <si>
    <t>Final calculated throttle signal</t>
  </si>
  <si>
    <t>BThrottleOK</t>
  </si>
  <si>
    <t>Throttle signal is valid</t>
  </si>
  <si>
    <t>BAPPS1Fail</t>
  </si>
  <si>
    <t>APPS sensor one in failure state</t>
  </si>
  <si>
    <t>BAPPS2Fail</t>
  </si>
  <si>
    <t>APPS sensor two in failure state</t>
  </si>
  <si>
    <t>BAPPSDrift</t>
  </si>
  <si>
    <t>APPS sensors have drifted from each other</t>
  </si>
  <si>
    <t>TFRTireChannel01</t>
  </si>
  <si>
    <t>Front Right Tire Temperature Channel 1</t>
  </si>
  <si>
    <t>TFRTireChannel02</t>
  </si>
  <si>
    <t>Front Right Tire Temperature Channel 2</t>
  </si>
  <si>
    <t>TFRTireChannel03</t>
  </si>
  <si>
    <t>Front Right Tire Temperature Channel 3</t>
  </si>
  <si>
    <t>TFRTireChannel04</t>
  </si>
  <si>
    <t>Front Right Tire Temperature Channel 4</t>
  </si>
  <si>
    <t>TFRTireChannel05</t>
  </si>
  <si>
    <t>Front Right Tire Temperature Channel 5</t>
  </si>
  <si>
    <t>TFRTireChannel06</t>
  </si>
  <si>
    <t>Front Right Tire Temperature Channel 6</t>
  </si>
  <si>
    <t>TFRTireChannel07</t>
  </si>
  <si>
    <t>Front Right Tire Temperature Channel 7</t>
  </si>
  <si>
    <t>TFRTireChannel08</t>
  </si>
  <si>
    <t>Front Right Tire Temperature Channel 8</t>
  </si>
  <si>
    <t>TFRTireChannel09</t>
  </si>
  <si>
    <t>Front Right Tire Temperature Channel 9</t>
  </si>
  <si>
    <t>TFRTireChannel10</t>
  </si>
  <si>
    <t>Front Right Tire Temperature Channel 10</t>
  </si>
  <si>
    <t>TFRTireChannel11</t>
  </si>
  <si>
    <t>Front Right Tire Temperature Channel 11</t>
  </si>
  <si>
    <t>TFRTireChannel12</t>
  </si>
  <si>
    <t>Front Right Tire Temperature Channel 12</t>
  </si>
  <si>
    <t>TFRTireChannel13</t>
  </si>
  <si>
    <t>Front Right Tire Temperature Channel 13</t>
  </si>
  <si>
    <t>TFRTireChannel14</t>
  </si>
  <si>
    <t>Front Right Tire Temperature Channel 14</t>
  </si>
  <si>
    <t>TFRTireChannel15</t>
  </si>
  <si>
    <t>Front Right Tire Temperature Channel 15</t>
  </si>
  <si>
    <t>TFRTireChannel16</t>
  </si>
  <si>
    <t>Front Right Tire Temperature Channel 16</t>
  </si>
  <si>
    <t>TFLTireChannel01</t>
  </si>
  <si>
    <t>Front Left Tire Temperature Channel 1</t>
  </si>
  <si>
    <t>TFLTireChannel02</t>
  </si>
  <si>
    <t>Front Left Tire Temperature Channel 2</t>
  </si>
  <si>
    <t>TFLTireChannel03</t>
  </si>
  <si>
    <t>Front Left Tire Temperature Channel 3</t>
  </si>
  <si>
    <t>TFLTireChannel04</t>
  </si>
  <si>
    <t>Front Left Tire Temperature Channel 4</t>
  </si>
  <si>
    <t>TFLTireChannel05</t>
  </si>
  <si>
    <t>Front Left Tire Temperature Channel 5</t>
  </si>
  <si>
    <t>TFLTireChannel06</t>
  </si>
  <si>
    <t>Front Left Tire Temperature Channel 6</t>
  </si>
  <si>
    <t>TFLTireChannel07</t>
  </si>
  <si>
    <t>Front Left Tire Temperature Channel 7</t>
  </si>
  <si>
    <t>TFLTireChannel08</t>
  </si>
  <si>
    <t>Front Left Tire Temperature Channel 8</t>
  </si>
  <si>
    <t>TFLTireChannel09</t>
  </si>
  <si>
    <t>Front Left Tire Temperature Channel 9</t>
  </si>
  <si>
    <t>TFLTireChannel10</t>
  </si>
  <si>
    <t>Front Left Tire Temperature Channel 10</t>
  </si>
  <si>
    <t>TFLTireChannel11</t>
  </si>
  <si>
    <t>Front Left Tire Temperature Channel 11</t>
  </si>
  <si>
    <t>TFLTireChannel12</t>
  </si>
  <si>
    <t>Front Left Tire Temperature Channel 12</t>
  </si>
  <si>
    <t>TFLTireChannel13</t>
  </si>
  <si>
    <t>Front Left Tire Temperature Channel 13</t>
  </si>
  <si>
    <t>TFLTireChannel14</t>
  </si>
  <si>
    <t>Front Left Tire Temperature Channel 14</t>
  </si>
  <si>
    <t>TFLTireChannel15</t>
  </si>
  <si>
    <t>Front Left Tire Temperature Channel 15</t>
  </si>
  <si>
    <t>TFLTireChannel16</t>
  </si>
  <si>
    <t>Front Left Tire Temperature Channel 16</t>
  </si>
  <si>
    <t>TRRTireChannel01</t>
  </si>
  <si>
    <t>Rear Right Tire Temperature Channel 1</t>
  </si>
  <si>
    <t>TRRTireChannel02</t>
  </si>
  <si>
    <t>Rear Right Tire Temperature Channel 2</t>
  </si>
  <si>
    <t>TRRTireChannel03</t>
  </si>
  <si>
    <t>Rear Right Tire Temperature Channel 3</t>
  </si>
  <si>
    <t>TRRTireChannel04</t>
  </si>
  <si>
    <t>Rear Right Tire Temperature Channel 4</t>
  </si>
  <si>
    <t>TRRTireChannel05</t>
  </si>
  <si>
    <t>Rear Right Tire Temperature Channel 5</t>
  </si>
  <si>
    <t>TRRTireChannel06</t>
  </si>
  <si>
    <t>Rear Right Tire Temperature Channel 6</t>
  </si>
  <si>
    <t>TRRTireChannel07</t>
  </si>
  <si>
    <t>Rear Right Tire Temperature Channel 7</t>
  </si>
  <si>
    <t>TRRTireChannel08</t>
  </si>
  <si>
    <t>Rear Right Tire Temperature Channel 8</t>
  </si>
  <si>
    <t>TRRTireChannel09</t>
  </si>
  <si>
    <t>Rear Right Tire Temperature Channel 9</t>
  </si>
  <si>
    <t>TRRTireChannel10</t>
  </si>
  <si>
    <t>Rear Right Tire Temperature Channel 10</t>
  </si>
  <si>
    <t>TRRTireChannel11</t>
  </si>
  <si>
    <t>Rear Right Tire Temperature Channel 11</t>
  </si>
  <si>
    <t>TRRTireChannel12</t>
  </si>
  <si>
    <t>Rear Right Tire Temperature Channel 12</t>
  </si>
  <si>
    <t>TRRTireChannel13</t>
  </si>
  <si>
    <t>Rear Right Tire Temperature Channel 13</t>
  </si>
  <si>
    <t>TRRTireChannel14</t>
  </si>
  <si>
    <t>Rear Right Tire Temperature Channel 14</t>
  </si>
  <si>
    <t>TRRTireChannel15</t>
  </si>
  <si>
    <t>Rear Right Tire Temperature Channel 15</t>
  </si>
  <si>
    <t>TRRTireChannel16</t>
  </si>
  <si>
    <t>Rear Right Tire Temperature Channel 16</t>
  </si>
  <si>
    <t>TRLTireChannel01</t>
  </si>
  <si>
    <t>Rear Left Tire Temperature Channel 1</t>
  </si>
  <si>
    <t>TRLTireChannel02</t>
  </si>
  <si>
    <t>Rear Left Tire Temperature Channel 2</t>
  </si>
  <si>
    <t>TRLTireChannel03</t>
  </si>
  <si>
    <t>Rear Left Tire Temperature Channel 3</t>
  </si>
  <si>
    <t>TRLTireChannel04</t>
  </si>
  <si>
    <t>Rear Left Tire Temperature Channel 4</t>
  </si>
  <si>
    <t>TRLTireChannel05</t>
  </si>
  <si>
    <t>Rear Left Tire Temperature Channel 5</t>
  </si>
  <si>
    <t>TRLTireChannel06</t>
  </si>
  <si>
    <t>Rear Left Tire Temperature Channel 6</t>
  </si>
  <si>
    <t>TRLTireChannel07</t>
  </si>
  <si>
    <t>Rear Left Tire Temperature Channel 7</t>
  </si>
  <si>
    <t>TRLTireChannel08</t>
  </si>
  <si>
    <t>Rear Left Tire Temperature Channel 8</t>
  </si>
  <si>
    <t>TRLTireChannel09</t>
  </si>
  <si>
    <t>Rear Left Tire Temperature Channel 9</t>
  </si>
  <si>
    <t>TRLTireChannel10</t>
  </si>
  <si>
    <t>Rear Left Tire Temperature Channel 10</t>
  </si>
  <si>
    <t>TRLTireChannel11</t>
  </si>
  <si>
    <t>Rear Left Tire Temperature Channel 11</t>
  </si>
  <si>
    <t>TRLTireChannel12</t>
  </si>
  <si>
    <t>Rear Left Tire Temperature Channel 12</t>
  </si>
  <si>
    <t>TRLTireChannel13</t>
  </si>
  <si>
    <t>Rear Left Tire Temperature Channel 13</t>
  </si>
  <si>
    <t>TRLTireChannel14</t>
  </si>
  <si>
    <t>Rear Left Tire Temperature Channel 14</t>
  </si>
  <si>
    <t>TRLTireChannel15</t>
  </si>
  <si>
    <t>Rear Left Tire Temperature Channel 15</t>
  </si>
  <si>
    <t>TRLTireChannel16</t>
  </si>
  <si>
    <t>Rear Left Tire Temperature Channel 16</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</si>
</sst>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000"/>
    <numFmt numFmtId="165" formatCode="0.000"/>
    <numFmt numFmtId="166" formatCode="0.0000"/>
  </numFmts>
  <fonts count="8">
    <font>
      <sz val="10.0"/>
      <color rgb="FF000000"/>
      <name val="Arial"/>
      <scheme val="minor"/>
    </font>
    <font>
      <b/>
      <color theme="1"/>
      <name val="Arial"/>
      <scheme val="minor"/>
    </font>
    <font>
      <color theme="1"/>
      <name val="Arial"/>
      <scheme val="minor"/>
    </font>
    <font>
      <u/>
      <color theme="1"/>
      <name val="Arial"/>
      <scheme val="minor"/>
    </font>
    <font>
      <color theme="1"/>
      <name val="Arial"/>
    </font>
    <font>
      <color rgb="FF434343"/>
      <name val="Roboto"/>
    </font>
    <font>
      <b/>
      <sz val="6.0"/>
      <color theme="1"/>
      <name val="Arial"/>
      <scheme val="minor"/>
    </font>
    <font/>
  </fonts>
  <fills count="6">
    <fill>
      <patternFill patternType="none"/>
    </fill>
    <fill>
      <patternFill patternType="lightGray"/>
    </fill>
    <fill>
      <patternFill patternType="solid">
        <fgColor rgb="FFFFFF00"/>
        <bgColor rgb="FFFFFF00"/>
      </patternFill>
    </fill>
    <fill>
      <patternFill patternType="solid">
        <fgColor rgb="FFFCE8B2"/>
        <bgColor rgb="FFFCE8B2"/>
      </patternFill>
    </fill>
    <fill>
      <patternFill patternType="solid">
        <fgColor rgb="FFF6F8F9"/>
        <bgColor rgb="FFF6F8F9"/>
      </patternFill>
    </fill>
    <fill>
      <patternFill patternType="solid">
        <fgColor rgb="FFFFFFFF"/>
        <bgColor rgb="FFFFFFFF"/>
      </patternFill>
    </fill>
  </fills>
  <borders count="27">
    <border/>
    <border>
      <left style="thin">
        <color rgb="FF284E3F"/>
      </left>
      <right style="thin">
        <color rgb="FFFCE8B2"/>
      </right>
      <top style="thin">
        <color rgb="FFFCE8B2"/>
      </top>
      <bottom style="thin">
        <color rgb="FFFCE8B2"/>
      </bottom>
    </border>
    <border>
      <left style="thin">
        <color rgb="FFF6F8F9"/>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ck">
        <color rgb="FF000000"/>
      </left>
      <right style="thin">
        <color rgb="FF000000"/>
      </right>
      <top style="thick">
        <color rgb="FF000000"/>
      </top>
      <bottom style="thick">
        <color rgb="FF000000"/>
      </bottom>
    </border>
    <border>
      <left style="thin">
        <color rgb="FF000000"/>
      </left>
      <right style="thin">
        <color rgb="FF000000"/>
      </right>
      <top style="thick">
        <color rgb="FF000000"/>
      </top>
      <bottom style="thick">
        <color rgb="FF000000"/>
      </bottom>
    </border>
    <border>
      <left style="thin">
        <color rgb="FF000000"/>
      </left>
      <right style="thick">
        <color rgb="FF000000"/>
      </right>
      <top style="thick">
        <color rgb="FF000000"/>
      </top>
      <bottom style="thick">
        <color rgb="FF000000"/>
      </bottom>
    </border>
    <border>
      <left style="thick">
        <color rgb="FF000000"/>
      </left>
      <right style="thin">
        <color rgb="FF000000"/>
      </right>
      <top style="thick">
        <color rgb="FF000000"/>
      </top>
      <bottom style="thin">
        <color rgb="FF000000"/>
      </bottom>
    </border>
    <border>
      <left style="thin">
        <color rgb="FF000000"/>
      </left>
      <right style="thin">
        <color rgb="FF000000"/>
      </right>
      <top style="thick">
        <color rgb="FF000000"/>
      </top>
      <bottom style="thin">
        <color rgb="FF000000"/>
      </bottom>
    </border>
    <border>
      <left style="thin">
        <color rgb="FF000000"/>
      </left>
      <right style="thick">
        <color rgb="FF000000"/>
      </right>
      <top style="thick">
        <color rgb="FF000000"/>
      </top>
      <bottom style="thin">
        <color rgb="FF000000"/>
      </bottom>
    </border>
    <border>
      <left style="thick">
        <color rgb="FF000000"/>
      </left>
      <right style="thin">
        <color rgb="FF000000"/>
      </right>
      <top style="thin">
        <color rgb="FF000000"/>
      </top>
      <bottom style="thick">
        <color rgb="FF000000"/>
      </bottom>
    </border>
    <border>
      <left style="thin">
        <color rgb="FF000000"/>
      </left>
      <right style="thin">
        <color rgb="FF000000"/>
      </right>
      <top style="thin">
        <color rgb="FF000000"/>
      </top>
      <bottom style="thick">
        <color rgb="FF000000"/>
      </bottom>
    </border>
    <border>
      <left style="thin">
        <color rgb="FF000000"/>
      </left>
      <right style="thick">
        <color rgb="FF000000"/>
      </right>
      <top style="thin">
        <color rgb="FF000000"/>
      </top>
      <bottom style="thick">
        <color rgb="FF000000"/>
      </bottom>
    </border>
    <border>
      <left style="thick">
        <color rgb="FF000000"/>
      </left>
      <right style="thin">
        <color rgb="FF000000"/>
      </right>
    </border>
    <border>
      <left style="thin">
        <color rgb="FF000000"/>
      </left>
      <right style="thin">
        <color rgb="FF000000"/>
      </right>
    </border>
    <border>
      <left style="thin">
        <color rgb="FF000000"/>
      </left>
      <right style="thick">
        <color rgb="FF000000"/>
      </right>
    </border>
    <border>
      <left style="thick">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ck">
        <color rgb="FF000000"/>
      </right>
      <top style="thin">
        <color rgb="FF000000"/>
      </top>
      <bottom style="thin">
        <color rgb="FF000000"/>
      </bottom>
    </border>
    <border>
      <left style="thin">
        <color rgb="FF000000"/>
      </left>
      <right style="thin">
        <color rgb="FF000000"/>
      </right>
      <top style="thick">
        <color rgb="FF000000"/>
      </top>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ck">
        <color rgb="FF000000"/>
      </left>
      <right style="thin">
        <color rgb="FF000000"/>
      </right>
      <top style="thick">
        <color rgb="FF000000"/>
      </top>
    </border>
    <border>
      <left style="thin">
        <color rgb="FF000000"/>
      </left>
      <right style="thick">
        <color rgb="FF000000"/>
      </right>
      <top style="thick">
        <color rgb="FF000000"/>
      </top>
    </border>
    <border>
      <left style="thick">
        <color rgb="FF000000"/>
      </left>
      <right style="thin">
        <color rgb="FF000000"/>
      </right>
      <top style="thin">
        <color rgb="FF000000"/>
      </top>
    </border>
  </borders>
  <cellStyleXfs count="1">
    <xf borderId="0" fillId="0" fontId="0" numFmtId="0" applyAlignment="1" applyFont="1"/>
  </cellStyleXfs>
  <cellXfs count="136">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0" fontId="2" numFmtId="0" xfId="0" applyAlignment="1" applyFont="1">
      <alignment horizontal="center" readingOrder="0"/>
    </xf>
    <xf borderId="0" fillId="0" fontId="1" numFmtId="0" xfId="0" applyAlignment="1" applyFont="1">
      <alignment readingOrder="0" shrinkToFit="0" wrapText="1"/>
    </xf>
    <xf borderId="0" fillId="0" fontId="1" numFmtId="10" xfId="0" applyFont="1" applyNumberFormat="1"/>
    <xf borderId="0" fillId="0" fontId="2" numFmtId="2" xfId="0" applyFont="1" applyNumberFormat="1"/>
    <xf borderId="0" fillId="0" fontId="1" numFmtId="10" xfId="0" applyAlignment="1" applyFont="1" applyNumberFormat="1">
      <alignment readingOrder="0" shrinkToFit="0" wrapText="1"/>
    </xf>
    <xf borderId="0" fillId="0" fontId="2" numFmtId="0" xfId="0" applyAlignment="1" applyFont="1">
      <alignment readingOrder="0"/>
    </xf>
    <xf borderId="0" fillId="0" fontId="3" numFmtId="0" xfId="0" applyAlignment="1" applyFont="1">
      <alignment readingOrder="0"/>
    </xf>
    <xf borderId="0" fillId="0" fontId="1" numFmtId="0" xfId="0" applyAlignment="1" applyFont="1">
      <alignment horizontal="center" readingOrder="0"/>
    </xf>
    <xf borderId="0" fillId="0" fontId="1" numFmtId="2" xfId="0" applyAlignment="1" applyFont="1" applyNumberFormat="1">
      <alignment readingOrder="0"/>
    </xf>
    <xf borderId="0" fillId="0" fontId="1" numFmtId="0" xfId="0" applyAlignment="1" applyFont="1">
      <alignment readingOrder="0"/>
    </xf>
    <xf borderId="0" fillId="0" fontId="1" numFmtId="0" xfId="0" applyAlignment="1" applyFont="1">
      <alignment horizontal="center" readingOrder="0" shrinkToFit="0" vertical="center" wrapText="0"/>
    </xf>
    <xf borderId="0" fillId="0" fontId="1" numFmtId="0" xfId="0" applyAlignment="1" applyFont="1">
      <alignment horizontal="left" readingOrder="0" shrinkToFit="0" vertical="center" wrapText="0"/>
    </xf>
    <xf borderId="0" fillId="0" fontId="1" numFmtId="49" xfId="0" applyAlignment="1" applyFont="1" applyNumberFormat="1">
      <alignment horizontal="left" readingOrder="0" shrinkToFit="0" vertical="center" wrapText="0"/>
    </xf>
    <xf borderId="0" fillId="0" fontId="1" numFmtId="2" xfId="0" applyAlignment="1" applyFont="1" applyNumberFormat="1">
      <alignment horizontal="left" readingOrder="0" shrinkToFit="0" vertical="center" wrapText="0"/>
    </xf>
    <xf borderId="0" fillId="0" fontId="2" numFmtId="0" xfId="0" applyAlignment="1" applyFont="1">
      <alignment horizontal="center" readingOrder="0" shrinkToFit="0" vertical="center" wrapText="0"/>
    </xf>
    <xf borderId="0" fillId="0" fontId="2" numFmtId="0" xfId="0" applyAlignment="1" applyFont="1">
      <alignment readingOrder="0" shrinkToFit="0" vertical="center" wrapText="0"/>
    </xf>
    <xf borderId="0" fillId="0" fontId="2" numFmtId="2" xfId="0" applyAlignment="1" applyFont="1" applyNumberFormat="1">
      <alignment readingOrder="0" shrinkToFit="0" vertical="center" wrapText="0"/>
    </xf>
    <xf borderId="0" fillId="0" fontId="2" numFmtId="0" xfId="0" applyAlignment="1" applyFont="1">
      <alignment readingOrder="0" shrinkToFit="0" vertical="center" wrapText="1"/>
    </xf>
    <xf borderId="0" fillId="0" fontId="4" numFmtId="0" xfId="0" applyAlignment="1" applyFont="1">
      <alignment horizontal="center" shrinkToFit="0" vertical="center" wrapText="0"/>
    </xf>
    <xf borderId="0" fillId="0" fontId="4" numFmtId="0" xfId="0" applyAlignment="1" applyFont="1">
      <alignment readingOrder="0" shrinkToFit="0" vertical="bottom" wrapText="0"/>
    </xf>
    <xf borderId="0" fillId="0" fontId="4" numFmtId="0" xfId="0" applyAlignment="1" applyFont="1">
      <alignment horizontal="right" readingOrder="0" shrinkToFit="0" vertical="bottom" wrapText="0"/>
    </xf>
    <xf borderId="0" fillId="0" fontId="4" numFmtId="0" xfId="0" applyAlignment="1" applyFont="1">
      <alignment horizontal="center" readingOrder="0" shrinkToFit="0" vertical="center" wrapText="0"/>
    </xf>
    <xf borderId="0" fillId="0" fontId="4" numFmtId="0" xfId="0" applyAlignment="1" applyFont="1">
      <alignment shrinkToFit="0" vertical="bottom" wrapText="1"/>
    </xf>
    <xf borderId="0" fillId="3" fontId="5" numFmtId="0" xfId="0" applyAlignment="1" applyFill="1" applyFont="1">
      <alignment horizontal="center" shrinkToFit="0" vertical="center" wrapText="0"/>
    </xf>
    <xf borderId="0" fillId="4" fontId="5" numFmtId="0" xfId="0" applyAlignment="1" applyFill="1" applyFont="1">
      <alignment horizontal="right" shrinkToFit="0" vertical="center" wrapText="0"/>
    </xf>
    <xf borderId="0" fillId="4" fontId="5" numFmtId="2" xfId="0" applyAlignment="1" applyFont="1" applyNumberFormat="1">
      <alignment horizontal="right" shrinkToFit="0" vertical="center" wrapText="0"/>
    </xf>
    <xf borderId="0" fillId="4" fontId="5" numFmtId="0" xfId="0" applyAlignment="1" applyFont="1">
      <alignment readingOrder="0" shrinkToFit="0" vertical="center" wrapText="0"/>
    </xf>
    <xf borderId="0" fillId="4" fontId="5" numFmtId="0" xfId="0" applyAlignment="1" applyFont="1">
      <alignment shrinkToFit="0" vertical="center" wrapText="0"/>
    </xf>
    <xf borderId="0" fillId="4" fontId="5" numFmtId="0" xfId="0" applyAlignment="1" applyFont="1">
      <alignment horizontal="center" shrinkToFit="0" vertical="center" wrapText="0"/>
    </xf>
    <xf borderId="0" fillId="4" fontId="5" numFmtId="0" xfId="0" applyAlignment="1" applyFont="1">
      <alignment readingOrder="0" shrinkToFit="0" vertical="center" wrapText="1"/>
    </xf>
    <xf borderId="0" fillId="5" fontId="5" numFmtId="0" xfId="0" applyAlignment="1" applyFill="1" applyFont="1">
      <alignment horizontal="right" shrinkToFit="0" vertical="center" wrapText="0"/>
    </xf>
    <xf borderId="0" fillId="5" fontId="5" numFmtId="2" xfId="0" applyAlignment="1" applyFont="1" applyNumberFormat="1">
      <alignment horizontal="right" shrinkToFit="0" vertical="center" wrapText="0"/>
    </xf>
    <xf borderId="0" fillId="5" fontId="5" numFmtId="0" xfId="0" applyAlignment="1" applyFont="1">
      <alignment readingOrder="0" shrinkToFit="0" vertical="center" wrapText="0"/>
    </xf>
    <xf borderId="0" fillId="5" fontId="5" numFmtId="0" xfId="0" applyAlignment="1" applyFont="1">
      <alignment shrinkToFit="0" vertical="center" wrapText="0"/>
    </xf>
    <xf borderId="0" fillId="5" fontId="5" numFmtId="0" xfId="0" applyAlignment="1" applyFont="1">
      <alignment horizontal="center" shrinkToFit="0" vertical="center" wrapText="0"/>
    </xf>
    <xf borderId="0" fillId="5" fontId="5" numFmtId="0" xfId="0" applyAlignment="1" applyFont="1">
      <alignment readingOrder="0" shrinkToFit="0" vertical="center" wrapText="1"/>
    </xf>
    <xf borderId="1" fillId="3" fontId="5" numFmtId="0" xfId="0" applyAlignment="1" applyBorder="1" applyFont="1">
      <alignment horizontal="center" shrinkToFit="0" vertical="center" wrapText="0"/>
    </xf>
    <xf borderId="2" fillId="5" fontId="5" numFmtId="0" xfId="0" applyAlignment="1" applyBorder="1" applyFont="1">
      <alignment horizontal="right" shrinkToFit="0" vertical="center" wrapText="0"/>
    </xf>
    <xf borderId="2" fillId="5" fontId="5" numFmtId="2" xfId="0" applyAlignment="1" applyBorder="1" applyFont="1" applyNumberFormat="1">
      <alignment horizontal="right" shrinkToFit="0" vertical="center" wrapText="0"/>
    </xf>
    <xf borderId="2" fillId="5" fontId="5" numFmtId="0" xfId="0" applyAlignment="1" applyBorder="1" applyFont="1">
      <alignment readingOrder="0" shrinkToFit="0" vertical="center" wrapText="0"/>
    </xf>
    <xf borderId="2" fillId="5" fontId="5" numFmtId="0" xfId="0" applyAlignment="1" applyBorder="1" applyFont="1">
      <alignment shrinkToFit="0" vertical="center" wrapText="0"/>
    </xf>
    <xf borderId="2" fillId="5" fontId="5" numFmtId="0" xfId="0" applyAlignment="1" applyBorder="1" applyFont="1">
      <alignment horizontal="center" shrinkToFit="0" vertical="center" wrapText="0"/>
    </xf>
    <xf borderId="3" fillId="5" fontId="5" numFmtId="0" xfId="0" applyAlignment="1" applyBorder="1" applyFont="1">
      <alignment readingOrder="0" shrinkToFit="0" vertical="center" wrapText="1"/>
    </xf>
    <xf borderId="0" fillId="0" fontId="4" numFmtId="0" xfId="0" applyAlignment="1" applyFont="1">
      <alignment vertical="bottom"/>
    </xf>
    <xf borderId="4" fillId="4" fontId="5" numFmtId="0" xfId="0" applyAlignment="1" applyBorder="1" applyFont="1">
      <alignment horizontal="right" shrinkToFit="0" vertical="center" wrapText="0"/>
    </xf>
    <xf borderId="4" fillId="4" fontId="5" numFmtId="2" xfId="0" applyAlignment="1" applyBorder="1" applyFont="1" applyNumberFormat="1">
      <alignment horizontal="right" shrinkToFit="0" vertical="center" wrapText="0"/>
    </xf>
    <xf borderId="4" fillId="4" fontId="5" numFmtId="0" xfId="0" applyAlignment="1" applyBorder="1" applyFont="1">
      <alignment readingOrder="0" shrinkToFit="0" vertical="center" wrapText="0"/>
    </xf>
    <xf borderId="4" fillId="4" fontId="5" numFmtId="0" xfId="0" applyAlignment="1" applyBorder="1" applyFont="1">
      <alignment shrinkToFit="0" vertical="center" wrapText="0"/>
    </xf>
    <xf borderId="4" fillId="4" fontId="5" numFmtId="0" xfId="0" applyAlignment="1" applyBorder="1" applyFont="1">
      <alignment horizontal="center" shrinkToFit="0" vertical="center" wrapText="0"/>
    </xf>
    <xf borderId="5" fillId="4" fontId="5" numFmtId="0" xfId="0" applyAlignment="1" applyBorder="1" applyFont="1">
      <alignment readingOrder="0" shrinkToFit="0" vertical="center" wrapText="1"/>
    </xf>
    <xf borderId="1" fillId="0" fontId="2" numFmtId="0" xfId="0" applyAlignment="1" applyBorder="1" applyFont="1">
      <alignment horizontal="center" readingOrder="0" shrinkToFit="0" vertical="center" wrapText="0"/>
    </xf>
    <xf borderId="4" fillId="0" fontId="4" numFmtId="0" xfId="0" applyAlignment="1" applyBorder="1" applyFont="1">
      <alignment horizontal="right" shrinkToFit="0" vertical="bottom" wrapText="0"/>
    </xf>
    <xf borderId="4" fillId="0" fontId="2" numFmtId="2" xfId="0" applyAlignment="1" applyBorder="1" applyFont="1" applyNumberFormat="1">
      <alignment readingOrder="0" shrinkToFit="0" vertical="center" wrapText="0"/>
    </xf>
    <xf borderId="4" fillId="0" fontId="4" numFmtId="0" xfId="0" applyAlignment="1" applyBorder="1" applyFont="1">
      <alignment readingOrder="0" shrinkToFit="0" vertical="bottom" wrapText="0"/>
    </xf>
    <xf borderId="4" fillId="0" fontId="4" numFmtId="0" xfId="0" applyAlignment="1" applyBorder="1" applyFont="1">
      <alignment shrinkToFit="0" vertical="bottom" wrapText="0"/>
    </xf>
    <xf borderId="4" fillId="0" fontId="4" numFmtId="0" xfId="0" applyAlignment="1" applyBorder="1" applyFont="1">
      <alignment horizontal="center" shrinkToFit="0" vertical="center" wrapText="0"/>
    </xf>
    <xf borderId="5" fillId="0" fontId="4" numFmtId="0" xfId="0" applyAlignment="1" applyBorder="1" applyFont="1">
      <alignment shrinkToFit="0" vertical="bottom" wrapText="1"/>
    </xf>
    <xf borderId="2" fillId="0" fontId="2" numFmtId="0" xfId="0" applyAlignment="1" applyBorder="1" applyFont="1">
      <alignment readingOrder="0" shrinkToFit="0" vertical="center" wrapText="0"/>
    </xf>
    <xf borderId="2" fillId="0" fontId="2" numFmtId="2" xfId="0" applyAlignment="1" applyBorder="1" applyFont="1" applyNumberFormat="1">
      <alignment readingOrder="0" shrinkToFit="0" vertical="center" wrapText="0"/>
    </xf>
    <xf borderId="3" fillId="0" fontId="2" numFmtId="0" xfId="0" applyAlignment="1" applyBorder="1" applyFont="1">
      <alignment readingOrder="0" shrinkToFit="0" vertical="center" wrapText="1"/>
    </xf>
    <xf borderId="4" fillId="0" fontId="2" numFmtId="0" xfId="0" applyAlignment="1" applyBorder="1" applyFont="1">
      <alignment readingOrder="0" shrinkToFit="0" vertical="center" wrapText="0"/>
    </xf>
    <xf borderId="5" fillId="0" fontId="2" numFmtId="0" xfId="0" applyAlignment="1" applyBorder="1" applyFont="1">
      <alignment readingOrder="0" shrinkToFit="0" vertical="center" wrapText="1"/>
    </xf>
    <xf borderId="0" fillId="0" fontId="2" numFmtId="0" xfId="0" applyAlignment="1" applyFont="1">
      <alignment horizontal="center"/>
    </xf>
    <xf borderId="0" fillId="0" fontId="2" numFmtId="0" xfId="0" applyAlignment="1" applyFont="1">
      <alignment shrinkToFit="0" wrapText="1"/>
    </xf>
    <xf borderId="6" fillId="0" fontId="1" numFmtId="0" xfId="0" applyAlignment="1" applyBorder="1" applyFont="1">
      <alignment readingOrder="0"/>
    </xf>
    <xf borderId="7" fillId="0" fontId="1" numFmtId="0" xfId="0" applyAlignment="1" applyBorder="1" applyFont="1">
      <alignment readingOrder="0"/>
    </xf>
    <xf borderId="8" fillId="0" fontId="1" numFmtId="0" xfId="0" applyAlignment="1" applyBorder="1" applyFont="1">
      <alignment readingOrder="0"/>
    </xf>
    <xf borderId="9" fillId="0" fontId="2" numFmtId="0" xfId="0" applyAlignment="1" applyBorder="1" applyFont="1">
      <alignment readingOrder="0"/>
    </xf>
    <xf borderId="10" fillId="0" fontId="2" numFmtId="0" xfId="0" applyAlignment="1" applyBorder="1" applyFont="1">
      <alignment readingOrder="0"/>
    </xf>
    <xf borderId="10" fillId="0" fontId="2" numFmtId="0" xfId="0" applyBorder="1" applyFont="1"/>
    <xf borderId="11" fillId="0" fontId="2" numFmtId="2" xfId="0" applyBorder="1" applyFont="1" applyNumberFormat="1"/>
    <xf borderId="12" fillId="0" fontId="2" numFmtId="0" xfId="0" applyBorder="1" applyFont="1"/>
    <xf borderId="13" fillId="0" fontId="2" numFmtId="0" xfId="0" applyBorder="1" applyFont="1"/>
    <xf borderId="13" fillId="0" fontId="2" numFmtId="0" xfId="0" applyAlignment="1" applyBorder="1" applyFont="1">
      <alignment readingOrder="0"/>
    </xf>
    <xf borderId="14" fillId="0" fontId="2" numFmtId="2" xfId="0" applyBorder="1" applyFont="1" applyNumberFormat="1"/>
    <xf borderId="15" fillId="0" fontId="2" numFmtId="0" xfId="0" applyAlignment="1" applyBorder="1" applyFont="1">
      <alignment readingOrder="0"/>
    </xf>
    <xf borderId="16" fillId="0" fontId="2" numFmtId="0" xfId="0" applyAlignment="1" applyBorder="1" applyFont="1">
      <alignment readingOrder="0"/>
    </xf>
    <xf borderId="16" fillId="0" fontId="2" numFmtId="0" xfId="0" applyBorder="1" applyFont="1"/>
    <xf borderId="17" fillId="0" fontId="2" numFmtId="2" xfId="0" applyBorder="1" applyFont="1" applyNumberFormat="1"/>
    <xf borderId="18" fillId="0" fontId="2" numFmtId="0" xfId="0" applyBorder="1" applyFont="1"/>
    <xf borderId="19" fillId="0" fontId="2" numFmtId="0" xfId="0" applyBorder="1" applyFont="1"/>
    <xf borderId="19" fillId="0" fontId="2" numFmtId="0" xfId="0" applyAlignment="1" applyBorder="1" applyFont="1">
      <alignment readingOrder="0"/>
    </xf>
    <xf borderId="20" fillId="0" fontId="2" numFmtId="2" xfId="0" applyBorder="1" applyFont="1" applyNumberFormat="1"/>
    <xf borderId="16" fillId="0" fontId="6" numFmtId="0" xfId="0" applyAlignment="1" applyBorder="1" applyFont="1">
      <alignment readingOrder="0"/>
    </xf>
    <xf borderId="10" fillId="0" fontId="6" numFmtId="0" xfId="0" applyAlignment="1" applyBorder="1" applyFont="1">
      <alignment readingOrder="0"/>
    </xf>
    <xf borderId="15" fillId="0" fontId="2" numFmtId="0" xfId="0" applyBorder="1" applyFont="1"/>
    <xf borderId="7" fillId="0" fontId="2" numFmtId="0" xfId="0" applyBorder="1" applyFont="1"/>
    <xf borderId="21" fillId="0" fontId="2" numFmtId="0" xfId="0" applyBorder="1" applyFont="1"/>
    <xf borderId="12" fillId="0" fontId="2" numFmtId="0" xfId="0" applyAlignment="1" applyBorder="1" applyFont="1">
      <alignment readingOrder="0"/>
    </xf>
    <xf borderId="6" fillId="0" fontId="2" numFmtId="0" xfId="0" applyAlignment="1" applyBorder="1" applyFont="1">
      <alignment readingOrder="0"/>
    </xf>
    <xf borderId="7" fillId="0" fontId="2" numFmtId="0" xfId="0" applyAlignment="1" applyBorder="1" applyFont="1">
      <alignment readingOrder="0"/>
    </xf>
    <xf borderId="8" fillId="0" fontId="2" numFmtId="2" xfId="0" applyBorder="1" applyFont="1" applyNumberFormat="1"/>
    <xf borderId="7" fillId="3" fontId="2" numFmtId="0" xfId="0" applyAlignment="1" applyBorder="1" applyFont="1">
      <alignment readingOrder="0"/>
    </xf>
    <xf borderId="10" fillId="3" fontId="2" numFmtId="0" xfId="0" applyAlignment="1" applyBorder="1" applyFont="1">
      <alignment readingOrder="0"/>
    </xf>
    <xf borderId="19" fillId="3" fontId="2" numFmtId="0" xfId="0" applyAlignment="1" applyBorder="1" applyFont="1">
      <alignment readingOrder="0"/>
    </xf>
    <xf borderId="22" fillId="0" fontId="2" numFmtId="0" xfId="0" applyAlignment="1" applyBorder="1" applyFont="1">
      <alignment readingOrder="0" vertical="center"/>
    </xf>
    <xf borderId="16" fillId="0" fontId="7" numFmtId="0" xfId="0" applyBorder="1" applyFont="1"/>
    <xf borderId="23" fillId="0" fontId="7" numFmtId="0" xfId="0" applyBorder="1" applyFont="1"/>
    <xf borderId="6" fillId="0" fontId="2" numFmtId="0" xfId="0" applyBorder="1" applyFont="1"/>
    <xf borderId="9" fillId="0" fontId="4" numFmtId="0" xfId="0" applyAlignment="1" applyBorder="1" applyFont="1">
      <alignment readingOrder="0" vertical="bottom"/>
    </xf>
    <xf borderId="10" fillId="0" fontId="4" numFmtId="0" xfId="0" applyAlignment="1" applyBorder="1" applyFont="1">
      <alignment horizontal="right" vertical="bottom"/>
    </xf>
    <xf borderId="10" fillId="0" fontId="4" numFmtId="0" xfId="0" applyAlignment="1" applyBorder="1" applyFont="1">
      <alignment vertical="bottom"/>
    </xf>
    <xf borderId="10" fillId="0" fontId="4" numFmtId="0" xfId="0" applyAlignment="1" applyBorder="1" applyFont="1">
      <alignment vertical="bottom"/>
    </xf>
    <xf borderId="10" fillId="0" fontId="4" numFmtId="0" xfId="0" applyAlignment="1" applyBorder="1" applyFont="1">
      <alignment horizontal="right" vertical="bottom"/>
    </xf>
    <xf borderId="11" fillId="0" fontId="4" numFmtId="2" xfId="0" applyAlignment="1" applyBorder="1" applyFont="1" applyNumberFormat="1">
      <alignment horizontal="right" vertical="bottom"/>
    </xf>
    <xf borderId="18" fillId="0" fontId="4" numFmtId="0" xfId="0" applyAlignment="1" applyBorder="1" applyFont="1">
      <alignment vertical="bottom"/>
    </xf>
    <xf borderId="19" fillId="0" fontId="4" numFmtId="0" xfId="0" applyAlignment="1" applyBorder="1" applyFont="1">
      <alignment vertical="bottom"/>
    </xf>
    <xf borderId="19" fillId="0" fontId="4" numFmtId="0" xfId="0" applyAlignment="1" applyBorder="1" applyFont="1">
      <alignment horizontal="right" vertical="bottom"/>
    </xf>
    <xf borderId="19" fillId="0" fontId="4" numFmtId="0" xfId="0" applyAlignment="1" applyBorder="1" applyFont="1">
      <alignment vertical="bottom"/>
    </xf>
    <xf borderId="19" fillId="0" fontId="4" numFmtId="0" xfId="0" applyAlignment="1" applyBorder="1" applyFont="1">
      <alignment horizontal="right" vertical="bottom"/>
    </xf>
    <xf borderId="20" fillId="0" fontId="4" numFmtId="2" xfId="0" applyAlignment="1" applyBorder="1" applyFont="1" applyNumberFormat="1">
      <alignment horizontal="right" vertical="bottom"/>
    </xf>
    <xf borderId="12" fillId="0" fontId="4" numFmtId="0" xfId="0" applyAlignment="1" applyBorder="1" applyFont="1">
      <alignment vertical="bottom"/>
    </xf>
    <xf borderId="13" fillId="0" fontId="4" numFmtId="0" xfId="0" applyAlignment="1" applyBorder="1" applyFont="1">
      <alignment vertical="bottom"/>
    </xf>
    <xf borderId="13" fillId="0" fontId="4" numFmtId="0" xfId="0" applyAlignment="1" applyBorder="1" applyFont="1">
      <alignment horizontal="right" vertical="bottom"/>
    </xf>
    <xf borderId="13" fillId="0" fontId="4" numFmtId="0" xfId="0" applyAlignment="1" applyBorder="1" applyFont="1">
      <alignment vertical="bottom"/>
    </xf>
    <xf borderId="14" fillId="0" fontId="4" numFmtId="2" xfId="0" applyAlignment="1" applyBorder="1" applyFont="1" applyNumberFormat="1">
      <alignment horizontal="right" vertical="bottom"/>
    </xf>
    <xf borderId="6" fillId="0" fontId="4" numFmtId="0" xfId="0" applyAlignment="1" applyBorder="1" applyFont="1">
      <alignment readingOrder="0" vertical="bottom"/>
    </xf>
    <xf borderId="7" fillId="0" fontId="4" numFmtId="0" xfId="0" applyAlignment="1" applyBorder="1" applyFont="1">
      <alignment horizontal="right" vertical="bottom"/>
    </xf>
    <xf borderId="7" fillId="0" fontId="4" numFmtId="0" xfId="0" applyAlignment="1" applyBorder="1" applyFont="1">
      <alignment vertical="bottom"/>
    </xf>
    <xf borderId="7" fillId="0" fontId="4" numFmtId="0" xfId="0" applyAlignment="1" applyBorder="1" applyFont="1">
      <alignment vertical="bottom"/>
    </xf>
    <xf borderId="7" fillId="0" fontId="4" numFmtId="0" xfId="0" applyAlignment="1" applyBorder="1" applyFont="1">
      <alignment horizontal="right" vertical="bottom"/>
    </xf>
    <xf borderId="8" fillId="0" fontId="4" numFmtId="2" xfId="0" applyAlignment="1" applyBorder="1" applyFont="1" applyNumberFormat="1">
      <alignment horizontal="right" vertical="bottom"/>
    </xf>
    <xf borderId="20" fillId="0" fontId="2" numFmtId="164" xfId="0" applyBorder="1" applyFont="1" applyNumberFormat="1"/>
    <xf borderId="24" fillId="0" fontId="2" numFmtId="0" xfId="0" applyAlignment="1" applyBorder="1" applyFont="1">
      <alignment readingOrder="0"/>
    </xf>
    <xf borderId="21" fillId="0" fontId="2" numFmtId="0" xfId="0" applyAlignment="1" applyBorder="1" applyFont="1">
      <alignment readingOrder="0"/>
    </xf>
    <xf borderId="25" fillId="0" fontId="2" numFmtId="2" xfId="0" applyBorder="1" applyFont="1" applyNumberFormat="1"/>
    <xf borderId="20" fillId="0" fontId="2" numFmtId="165" xfId="0" applyBorder="1" applyFont="1" applyNumberFormat="1"/>
    <xf borderId="11" fillId="0" fontId="2" numFmtId="165" xfId="0" applyBorder="1" applyFont="1" applyNumberFormat="1"/>
    <xf borderId="11" fillId="0" fontId="2" numFmtId="166" xfId="0" applyBorder="1" applyFont="1" applyNumberFormat="1"/>
    <xf borderId="20" fillId="0" fontId="2" numFmtId="166" xfId="0" applyBorder="1" applyFont="1" applyNumberFormat="1"/>
    <xf borderId="26" fillId="0" fontId="2" numFmtId="0" xfId="0" applyBorder="1" applyFont="1"/>
    <xf borderId="22" fillId="0" fontId="2" numFmtId="0" xfId="0" applyBorder="1" applyFont="1"/>
    <xf borderId="22" fillId="0" fontId="2" numFmtId="0" xfId="0" applyAlignment="1" applyBorder="1" applyFont="1">
      <alignment readingOrder="0"/>
    </xf>
    <xf borderId="14" fillId="0" fontId="2" numFmtId="0" xfId="0" applyBorder="1" applyFont="1"/>
  </cellXfs>
  <cellStyles count="1">
    <cellStyle xfId="0" name="Normal" builtinId="0"/>
  </cellStyles>
  <dxfs count="10">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E06666"/>
          <bgColor rgb="FFE06666"/>
        </patternFill>
      </fill>
      <border/>
    </dxf>
    <dxf>
      <font/>
      <fill>
        <patternFill patternType="solid">
          <fgColor rgb="FFFCE8B2"/>
          <bgColor rgb="FFFCE8B2"/>
        </patternFill>
      </fill>
      <border/>
    </dxf>
    <dxf>
      <font/>
      <fill>
        <patternFill patternType="solid">
          <fgColor rgb="FFF4C7C3"/>
          <bgColor rgb="FFF4C7C3"/>
        </patternFill>
      </fill>
      <border/>
    </dxf>
    <dxf>
      <font/>
      <fill>
        <patternFill patternType="solid">
          <fgColor rgb="FFB7E1CD"/>
          <bgColor rgb="FFB7E1CD"/>
        </patternFill>
      </fill>
      <border/>
    </dxf>
    <dxf>
      <font/>
      <fill>
        <patternFill patternType="solid">
          <fgColor rgb="FFEA9999"/>
          <bgColor rgb="FFEA9999"/>
        </patternFill>
      </fill>
      <border/>
    </dxf>
  </dxfs>
  <tableStyles count="1">
    <tableStyle count="4" pivot="0" name="Main BU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4:K69" displayName="Main_Bus" name="Main_Bus" id="1">
  <tableColumns count="11">
    <tableColumn name="Documented?" id="1"/>
    <tableColumn name="ID" id="2"/>
    <tableColumn name="Name" id="3"/>
    <tableColumn name="Rate (ms)" id="4"/>
    <tableColumn name="Length (Bytes)" id="5"/>
    <tableColumn name="Loading (%)" id="6"/>
    <tableColumn name="Sender" id="7"/>
    <tableColumn name="Reciever" id="8"/>
    <tableColumn name="In Use Race" id="9"/>
    <tableColumn name="In Use Charge" id="10"/>
    <tableColumn name="Description" id="11"/>
  </tableColumns>
  <tableStyleInfo name="Main BU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drive.google.com/drive/folders/1H4j58vW-nP-RCtdRKdigWqFYKVan7jUa" TargetMode="External"/><Relationship Id="rId3" Type="http://schemas.openxmlformats.org/officeDocument/2006/relationships/drawing" Target="../drawings/drawing1.xml"/><Relationship Id="rId4" Type="http://schemas.openxmlformats.org/officeDocument/2006/relationships/vmlDrawing" Target="../drawings/vmlDrawing1.vml"/><Relationship Id="rId6"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15.88"/>
    <col customWidth="1" min="2" max="2" width="13.13"/>
    <col customWidth="1" min="3" max="4" width="16.5"/>
    <col customWidth="1" min="5" max="5" width="17.5"/>
    <col customWidth="1" min="8" max="8" width="13.88"/>
    <col customWidth="1" min="9" max="9" width="15.88"/>
    <col customWidth="1" min="10" max="10" width="14.75"/>
    <col customWidth="1" min="11" max="11" width="50.63"/>
    <col customWidth="1" min="15" max="15" width="16.5"/>
  </cols>
  <sheetData>
    <row r="1">
      <c r="A1" s="1" t="s">
        <v>0</v>
      </c>
      <c r="B1" s="2" t="s">
        <v>1</v>
      </c>
      <c r="C1" s="3" t="s">
        <v>2</v>
      </c>
      <c r="D1" s="4">
        <f>SUMIF(Main_Bus[In Use Race], "=TRUE", Main_Bus[Loading (%)])/100</f>
        <v>0.296174359</v>
      </c>
      <c r="E1" s="5"/>
      <c r="F1" s="3" t="s">
        <v>3</v>
      </c>
      <c r="G1" s="6">
        <v>0.52</v>
      </c>
      <c r="I1" s="7" t="s">
        <v>4</v>
      </c>
      <c r="J1" s="8" t="s">
        <v>5</v>
      </c>
    </row>
    <row r="2">
      <c r="A2" s="9"/>
      <c r="C2" s="3" t="s">
        <v>6</v>
      </c>
      <c r="D2" s="4">
        <f>SUMIF(Main_Bus[In Use Charge], "=TRUE", Main_Bus[Loading (%)])/100</f>
        <v>0.1806276923</v>
      </c>
      <c r="E2" s="10"/>
      <c r="F2" s="3" t="s">
        <v>7</v>
      </c>
      <c r="G2" s="6">
        <v>0.74</v>
      </c>
      <c r="H2" s="11"/>
      <c r="I2" s="11"/>
      <c r="J2" s="11"/>
    </row>
    <row r="3">
      <c r="A3" s="9"/>
      <c r="B3" s="11"/>
      <c r="C3" s="11"/>
      <c r="D3" s="11"/>
      <c r="E3" s="10"/>
      <c r="F3" s="11"/>
      <c r="G3" s="11"/>
      <c r="H3" s="11"/>
      <c r="I3" s="11"/>
      <c r="J3" s="11"/>
    </row>
    <row r="4" ht="22.5" customHeight="1">
      <c r="A4" s="12" t="s">
        <v>8</v>
      </c>
      <c r="B4" s="13" t="s">
        <v>9</v>
      </c>
      <c r="C4" s="14" t="s">
        <v>10</v>
      </c>
      <c r="D4" s="13" t="s">
        <v>11</v>
      </c>
      <c r="E4" s="13" t="s">
        <v>12</v>
      </c>
      <c r="F4" s="15" t="s">
        <v>13</v>
      </c>
      <c r="G4" s="13" t="s">
        <v>14</v>
      </c>
      <c r="H4" s="13" t="s">
        <v>15</v>
      </c>
      <c r="I4" s="13" t="s">
        <v>16</v>
      </c>
      <c r="J4" s="14" t="s">
        <v>17</v>
      </c>
      <c r="K4" s="13" t="s">
        <v>18</v>
      </c>
    </row>
    <row r="5" ht="22.5" customHeight="1">
      <c r="A5" s="16">
        <f>COUNTIF('Main BUS Message'!$A$1:$A$10091,B5)</f>
        <v>1</v>
      </c>
      <c r="B5" s="17" t="s">
        <v>19</v>
      </c>
      <c r="C5" s="17" t="s">
        <v>20</v>
      </c>
      <c r="D5" s="17">
        <v>100.0</v>
      </c>
      <c r="E5" s="17">
        <v>2.0</v>
      </c>
      <c r="F5" s="18">
        <f t="shared" ref="F5:F69" si="1">IF((I5),(E5+3)*(1000/D5)/1000,0)</f>
        <v>0</v>
      </c>
      <c r="G5" s="17" t="s">
        <v>21</v>
      </c>
      <c r="H5" s="17" t="s">
        <v>22</v>
      </c>
      <c r="I5" s="17" t="b">
        <v>0</v>
      </c>
      <c r="J5" s="17" t="b">
        <v>0</v>
      </c>
      <c r="K5" s="19" t="s">
        <v>23</v>
      </c>
    </row>
    <row r="6" ht="22.5" customHeight="1">
      <c r="A6" s="16">
        <f>COUNTIF('Main BUS Message'!$A$1:$A$10091,B6)</f>
        <v>1</v>
      </c>
      <c r="B6" s="17" t="s">
        <v>24</v>
      </c>
      <c r="C6" s="17" t="s">
        <v>25</v>
      </c>
      <c r="D6" s="17">
        <v>100.0</v>
      </c>
      <c r="E6" s="17">
        <v>2.0</v>
      </c>
      <c r="F6" s="18">
        <f t="shared" si="1"/>
        <v>0</v>
      </c>
      <c r="G6" s="17" t="s">
        <v>21</v>
      </c>
      <c r="H6" s="17" t="s">
        <v>22</v>
      </c>
      <c r="I6" s="17" t="b">
        <v>0</v>
      </c>
      <c r="J6" s="17" t="b">
        <v>0</v>
      </c>
      <c r="K6" s="19" t="s">
        <v>26</v>
      </c>
    </row>
    <row r="7" ht="22.5" customHeight="1">
      <c r="A7" s="16">
        <f>COUNTIF('Main BUS Message'!$A$1:$A$10091,B7)</f>
        <v>1</v>
      </c>
      <c r="B7" s="17" t="s">
        <v>27</v>
      </c>
      <c r="C7" s="17" t="s">
        <v>28</v>
      </c>
      <c r="D7" s="17">
        <v>100.0</v>
      </c>
      <c r="E7" s="17">
        <v>4.0</v>
      </c>
      <c r="F7" s="18">
        <f t="shared" si="1"/>
        <v>0</v>
      </c>
      <c r="G7" s="17" t="s">
        <v>21</v>
      </c>
      <c r="H7" s="17" t="s">
        <v>22</v>
      </c>
      <c r="I7" s="17" t="b">
        <v>0</v>
      </c>
      <c r="J7" s="17" t="b">
        <v>0</v>
      </c>
      <c r="K7" s="19" t="s">
        <v>29</v>
      </c>
    </row>
    <row r="8" ht="22.5" customHeight="1">
      <c r="A8" s="16">
        <f>COUNTIF('Main BUS Message'!$A$1:$A$10091,B8)</f>
        <v>1</v>
      </c>
      <c r="B8" s="17" t="s">
        <v>30</v>
      </c>
      <c r="C8" s="17" t="s">
        <v>31</v>
      </c>
      <c r="D8" s="17">
        <v>100.0</v>
      </c>
      <c r="E8" s="17">
        <v>2.0</v>
      </c>
      <c r="F8" s="18">
        <f t="shared" si="1"/>
        <v>0</v>
      </c>
      <c r="G8" s="17" t="s">
        <v>21</v>
      </c>
      <c r="H8" s="17" t="s">
        <v>22</v>
      </c>
      <c r="I8" s="17" t="b">
        <v>0</v>
      </c>
      <c r="J8" s="17" t="b">
        <v>0</v>
      </c>
      <c r="K8" s="19" t="s">
        <v>32</v>
      </c>
    </row>
    <row r="9" ht="22.5" customHeight="1">
      <c r="A9" s="16">
        <f>COUNTIF('Main BUS Message'!$A$1:$A$10091,B9)</f>
        <v>1</v>
      </c>
      <c r="B9" s="17" t="s">
        <v>33</v>
      </c>
      <c r="C9" s="17" t="s">
        <v>34</v>
      </c>
      <c r="D9" s="17">
        <v>100.0</v>
      </c>
      <c r="E9" s="17">
        <v>2.0</v>
      </c>
      <c r="F9" s="18">
        <f t="shared" si="1"/>
        <v>0</v>
      </c>
      <c r="G9" s="17" t="s">
        <v>21</v>
      </c>
      <c r="H9" s="17" t="s">
        <v>22</v>
      </c>
      <c r="I9" s="17" t="b">
        <v>0</v>
      </c>
      <c r="J9" s="17" t="b">
        <v>0</v>
      </c>
      <c r="K9" s="19" t="s">
        <v>35</v>
      </c>
    </row>
    <row r="10" ht="22.5" customHeight="1">
      <c r="A10" s="16">
        <f>COUNTIF('Main BUS Message'!$A$1:$A$10091,B10)</f>
        <v>1</v>
      </c>
      <c r="B10" s="17" t="s">
        <v>36</v>
      </c>
      <c r="C10" s="17" t="s">
        <v>37</v>
      </c>
      <c r="D10" s="17">
        <v>100.0</v>
      </c>
      <c r="E10" s="17">
        <v>8.0</v>
      </c>
      <c r="F10" s="18">
        <f t="shared" si="1"/>
        <v>0</v>
      </c>
      <c r="G10" s="17" t="s">
        <v>21</v>
      </c>
      <c r="H10" s="17" t="s">
        <v>22</v>
      </c>
      <c r="I10" s="17" t="b">
        <v>0</v>
      </c>
      <c r="J10" s="17" t="b">
        <v>0</v>
      </c>
      <c r="K10" s="19" t="s">
        <v>38</v>
      </c>
    </row>
    <row r="11" ht="22.5" customHeight="1">
      <c r="A11" s="16">
        <f>COUNTIF('Main BUS Message'!$A$1:$A$10091,B11)</f>
        <v>1</v>
      </c>
      <c r="B11" s="17" t="s">
        <v>39</v>
      </c>
      <c r="C11" s="17" t="s">
        <v>40</v>
      </c>
      <c r="D11" s="17">
        <v>100.0</v>
      </c>
      <c r="E11" s="17">
        <v>8.0</v>
      </c>
      <c r="F11" s="18">
        <f t="shared" si="1"/>
        <v>0</v>
      </c>
      <c r="G11" s="17" t="s">
        <v>21</v>
      </c>
      <c r="H11" s="17" t="s">
        <v>22</v>
      </c>
      <c r="I11" s="17" t="b">
        <v>0</v>
      </c>
      <c r="J11" s="17" t="b">
        <v>0</v>
      </c>
      <c r="K11" s="19" t="s">
        <v>41</v>
      </c>
    </row>
    <row r="12" ht="22.5" customHeight="1">
      <c r="A12" s="16">
        <f>COUNTIF('Main BUS Message'!$A$1:$A$10091,B12)</f>
        <v>1</v>
      </c>
      <c r="B12" s="17" t="s">
        <v>42</v>
      </c>
      <c r="C12" s="17" t="s">
        <v>43</v>
      </c>
      <c r="D12" s="17">
        <v>100.0</v>
      </c>
      <c r="E12" s="17">
        <v>2.0</v>
      </c>
      <c r="F12" s="18">
        <f t="shared" si="1"/>
        <v>0</v>
      </c>
      <c r="G12" s="17" t="s">
        <v>21</v>
      </c>
      <c r="H12" s="17" t="s">
        <v>22</v>
      </c>
      <c r="I12" s="17" t="b">
        <v>0</v>
      </c>
      <c r="J12" s="17" t="b">
        <v>0</v>
      </c>
      <c r="K12" s="19" t="s">
        <v>44</v>
      </c>
    </row>
    <row r="13" ht="22.5" customHeight="1">
      <c r="A13" s="16">
        <f>COUNTIF('Main BUS Message'!$A$1:$A$10091,B13)</f>
        <v>1</v>
      </c>
      <c r="B13" s="17" t="s">
        <v>45</v>
      </c>
      <c r="C13" s="17" t="s">
        <v>46</v>
      </c>
      <c r="D13" s="17">
        <v>100.0</v>
      </c>
      <c r="E13" s="17">
        <v>2.0</v>
      </c>
      <c r="F13" s="18">
        <f t="shared" si="1"/>
        <v>0</v>
      </c>
      <c r="G13" s="17" t="s">
        <v>21</v>
      </c>
      <c r="H13" s="17" t="s">
        <v>22</v>
      </c>
      <c r="I13" s="17" t="b">
        <v>0</v>
      </c>
      <c r="J13" s="17" t="b">
        <v>0</v>
      </c>
      <c r="K13" s="19" t="s">
        <v>47</v>
      </c>
    </row>
    <row r="14" ht="22.5" customHeight="1">
      <c r="A14" s="16">
        <f>COUNTIF('Main BUS Message'!$A$1:$A$10091,B14)</f>
        <v>1</v>
      </c>
      <c r="B14" s="17" t="s">
        <v>48</v>
      </c>
      <c r="C14" s="17" t="s">
        <v>49</v>
      </c>
      <c r="D14" s="17">
        <v>100.0</v>
      </c>
      <c r="E14" s="17">
        <v>2.0</v>
      </c>
      <c r="F14" s="18">
        <f t="shared" si="1"/>
        <v>0</v>
      </c>
      <c r="G14" s="17" t="s">
        <v>21</v>
      </c>
      <c r="H14" s="17" t="s">
        <v>22</v>
      </c>
      <c r="I14" s="17" t="b">
        <v>0</v>
      </c>
      <c r="J14" s="17" t="b">
        <v>0</v>
      </c>
      <c r="K14" s="19" t="s">
        <v>50</v>
      </c>
    </row>
    <row r="15" ht="22.5" customHeight="1">
      <c r="A15" s="16">
        <f>COUNTIF('Main BUS Message'!$A$1:$A$10091,B15)</f>
        <v>1</v>
      </c>
      <c r="B15" s="17" t="s">
        <v>51</v>
      </c>
      <c r="C15" s="17" t="s">
        <v>52</v>
      </c>
      <c r="D15" s="17">
        <v>1000.0</v>
      </c>
      <c r="E15" s="17">
        <v>8.0</v>
      </c>
      <c r="F15" s="18">
        <f t="shared" si="1"/>
        <v>0.011</v>
      </c>
      <c r="G15" s="17" t="s">
        <v>53</v>
      </c>
      <c r="H15" s="17" t="s">
        <v>54</v>
      </c>
      <c r="I15" s="17" t="b">
        <v>1</v>
      </c>
      <c r="J15" s="17" t="b">
        <v>0</v>
      </c>
      <c r="K15" s="19" t="s">
        <v>55</v>
      </c>
    </row>
    <row r="16" ht="22.5" customHeight="1">
      <c r="A16" s="16">
        <f>COUNTIF('Main BUS Message'!$A$1:$A$10091,B16)</f>
        <v>1</v>
      </c>
      <c r="B16" s="17" t="s">
        <v>56</v>
      </c>
      <c r="C16" s="17" t="s">
        <v>57</v>
      </c>
      <c r="D16" s="17">
        <v>1000.0</v>
      </c>
      <c r="E16" s="17">
        <v>1.0</v>
      </c>
      <c r="F16" s="18">
        <f t="shared" si="1"/>
        <v>0.004</v>
      </c>
      <c r="G16" s="17" t="s">
        <v>53</v>
      </c>
      <c r="H16" s="17" t="s">
        <v>58</v>
      </c>
      <c r="I16" s="20" t="b">
        <v>1</v>
      </c>
      <c r="J16" s="20" t="b">
        <v>0</v>
      </c>
      <c r="K16" s="19" t="s">
        <v>59</v>
      </c>
    </row>
    <row r="17" ht="22.5" customHeight="1">
      <c r="A17" s="16">
        <f>COUNTIF('Main BUS Message'!$A$1:$A$10091,B17)</f>
        <v>1</v>
      </c>
      <c r="B17" s="17" t="s">
        <v>60</v>
      </c>
      <c r="C17" s="17" t="s">
        <v>61</v>
      </c>
      <c r="D17" s="17">
        <v>1.0</v>
      </c>
      <c r="E17" s="17">
        <v>2.0</v>
      </c>
      <c r="F17" s="18">
        <f t="shared" si="1"/>
        <v>5</v>
      </c>
      <c r="G17" s="17" t="s">
        <v>53</v>
      </c>
      <c r="H17" s="17" t="s">
        <v>22</v>
      </c>
      <c r="I17" s="17" t="b">
        <v>1</v>
      </c>
      <c r="J17" s="17" t="b">
        <v>0</v>
      </c>
      <c r="K17" s="19" t="s">
        <v>62</v>
      </c>
    </row>
    <row r="18" ht="22.5" customHeight="1">
      <c r="A18" s="16">
        <f>COUNTIF('Main BUS Message'!$A$1:$A$10091,B18)</f>
        <v>1</v>
      </c>
      <c r="B18" s="17" t="s">
        <v>63</v>
      </c>
      <c r="C18" s="17" t="s">
        <v>64</v>
      </c>
      <c r="D18" s="17">
        <v>100.0</v>
      </c>
      <c r="E18" s="17">
        <v>1.0</v>
      </c>
      <c r="F18" s="18">
        <f t="shared" si="1"/>
        <v>0.04</v>
      </c>
      <c r="G18" s="17" t="s">
        <v>53</v>
      </c>
      <c r="H18" s="17" t="s">
        <v>22</v>
      </c>
      <c r="I18" s="17" t="b">
        <v>1</v>
      </c>
      <c r="J18" s="17" t="b">
        <v>0</v>
      </c>
      <c r="K18" s="19" t="s">
        <v>65</v>
      </c>
    </row>
    <row r="19" ht="22.5" customHeight="1">
      <c r="A19" s="16">
        <f>COUNTIF('Main BUS Message'!$A$1:$A$10091,B19)</f>
        <v>1</v>
      </c>
      <c r="B19" s="17" t="s">
        <v>66</v>
      </c>
      <c r="C19" s="17" t="s">
        <v>67</v>
      </c>
      <c r="D19" s="17">
        <v>2.0</v>
      </c>
      <c r="E19" s="17">
        <v>8.0</v>
      </c>
      <c r="F19" s="18">
        <f t="shared" si="1"/>
        <v>5.5</v>
      </c>
      <c r="G19" s="17" t="s">
        <v>68</v>
      </c>
      <c r="H19" s="17" t="s">
        <v>54</v>
      </c>
      <c r="I19" s="17" t="b">
        <v>1</v>
      </c>
      <c r="J19" s="17" t="b">
        <v>1</v>
      </c>
      <c r="K19" s="19" t="s">
        <v>69</v>
      </c>
    </row>
    <row r="20" ht="22.5" customHeight="1">
      <c r="A20" s="16">
        <f>COUNTIF('Main BUS Message'!$A$1:$A$10091,B20)</f>
        <v>0</v>
      </c>
      <c r="B20" s="17" t="s">
        <v>70</v>
      </c>
      <c r="C20" s="17" t="s">
        <v>71</v>
      </c>
      <c r="D20" s="17">
        <v>2.0</v>
      </c>
      <c r="E20" s="17">
        <v>8.0</v>
      </c>
      <c r="F20" s="18">
        <f t="shared" si="1"/>
        <v>5.5</v>
      </c>
      <c r="G20" s="17" t="s">
        <v>68</v>
      </c>
      <c r="H20" s="17" t="s">
        <v>54</v>
      </c>
      <c r="I20" s="17" t="b">
        <v>1</v>
      </c>
      <c r="J20" s="17" t="b">
        <v>1</v>
      </c>
      <c r="K20" s="19" t="s">
        <v>72</v>
      </c>
    </row>
    <row r="21" ht="22.5" customHeight="1">
      <c r="A21" s="16">
        <f>COUNTIF('Main BUS Message'!$A$1:$A$10091,B21)</f>
        <v>2</v>
      </c>
      <c r="B21" s="17" t="s">
        <v>73</v>
      </c>
      <c r="C21" s="17" t="s">
        <v>74</v>
      </c>
      <c r="D21" s="17">
        <v>8.0</v>
      </c>
      <c r="E21" s="17">
        <v>8.0</v>
      </c>
      <c r="F21" s="18">
        <f t="shared" si="1"/>
        <v>1.375</v>
      </c>
      <c r="G21" s="17" t="s">
        <v>68</v>
      </c>
      <c r="H21" s="17" t="s">
        <v>54</v>
      </c>
      <c r="I21" s="17" t="b">
        <v>1</v>
      </c>
      <c r="J21" s="17" t="b">
        <v>1</v>
      </c>
      <c r="K21" s="19" t="s">
        <v>75</v>
      </c>
    </row>
    <row r="22" ht="22.5" customHeight="1">
      <c r="A22" s="16">
        <f>COUNTIF('Main BUS Message'!$A$1:$A$10091,B22)</f>
        <v>1</v>
      </c>
      <c r="B22" s="17" t="s">
        <v>76</v>
      </c>
      <c r="C22" s="17" t="s">
        <v>77</v>
      </c>
      <c r="D22" s="17">
        <v>104.0</v>
      </c>
      <c r="E22" s="17">
        <v>8.0</v>
      </c>
      <c r="F22" s="18">
        <f t="shared" si="1"/>
        <v>0.1057692308</v>
      </c>
      <c r="G22" s="17" t="s">
        <v>68</v>
      </c>
      <c r="H22" s="17" t="s">
        <v>54</v>
      </c>
      <c r="I22" s="17" t="b">
        <v>1</v>
      </c>
      <c r="J22" s="17" t="b">
        <v>1</v>
      </c>
      <c r="K22" s="19" t="s">
        <v>75</v>
      </c>
    </row>
    <row r="23" ht="22.5" customHeight="1">
      <c r="A23" s="16">
        <f>COUNTIF('Main BUS Message'!$A$1:$A$10091,B23)</f>
        <v>1</v>
      </c>
      <c r="B23" s="17" t="s">
        <v>78</v>
      </c>
      <c r="C23" s="17" t="s">
        <v>79</v>
      </c>
      <c r="D23" s="17">
        <v>8.0</v>
      </c>
      <c r="E23" s="17">
        <v>8.0</v>
      </c>
      <c r="F23" s="18">
        <f t="shared" si="1"/>
        <v>1.375</v>
      </c>
      <c r="G23" s="17" t="s">
        <v>68</v>
      </c>
      <c r="H23" s="17" t="s">
        <v>54</v>
      </c>
      <c r="I23" s="17" t="b">
        <v>1</v>
      </c>
      <c r="J23" s="17" t="b">
        <v>1</v>
      </c>
      <c r="K23" s="19" t="s">
        <v>80</v>
      </c>
    </row>
    <row r="24" ht="22.5" customHeight="1">
      <c r="A24" s="16">
        <f>COUNTIF('Main BUS Message'!$A$1:$A$10091,B24)</f>
        <v>1</v>
      </c>
      <c r="B24" s="17" t="s">
        <v>81</v>
      </c>
      <c r="C24" s="17" t="s">
        <v>82</v>
      </c>
      <c r="D24" s="17">
        <v>8.0</v>
      </c>
      <c r="E24" s="17">
        <v>8.0</v>
      </c>
      <c r="F24" s="18">
        <f t="shared" si="1"/>
        <v>1.375</v>
      </c>
      <c r="G24" s="17" t="s">
        <v>68</v>
      </c>
      <c r="H24" s="17" t="s">
        <v>54</v>
      </c>
      <c r="I24" s="17" t="b">
        <v>1</v>
      </c>
      <c r="J24" s="17" t="b">
        <v>1</v>
      </c>
      <c r="K24" s="19" t="s">
        <v>83</v>
      </c>
    </row>
    <row r="25" ht="22.5" customHeight="1">
      <c r="A25" s="16">
        <f>COUNTIF('Main BUS Message'!$A$1:$A$10091,B25)</f>
        <v>1</v>
      </c>
      <c r="B25" s="17" t="s">
        <v>84</v>
      </c>
      <c r="C25" s="17" t="s">
        <v>85</v>
      </c>
      <c r="D25" s="17">
        <v>8.0</v>
      </c>
      <c r="E25" s="17">
        <v>8.0</v>
      </c>
      <c r="F25" s="18">
        <f t="shared" si="1"/>
        <v>1.375</v>
      </c>
      <c r="G25" s="17" t="s">
        <v>68</v>
      </c>
      <c r="H25" s="17" t="s">
        <v>54</v>
      </c>
      <c r="I25" s="17" t="b">
        <v>1</v>
      </c>
      <c r="J25" s="17" t="b">
        <v>1</v>
      </c>
      <c r="K25" s="19" t="s">
        <v>86</v>
      </c>
    </row>
    <row r="26" ht="22.5" customHeight="1">
      <c r="A26" s="16">
        <f>COUNTIF('Main BUS Message'!$A$1:$A$10091,B26)</f>
        <v>1</v>
      </c>
      <c r="B26" s="17" t="s">
        <v>87</v>
      </c>
      <c r="C26" s="17" t="s">
        <v>88</v>
      </c>
      <c r="D26" s="17">
        <v>8.0</v>
      </c>
      <c r="E26" s="17">
        <v>8.0</v>
      </c>
      <c r="F26" s="18">
        <f t="shared" si="1"/>
        <v>1.375</v>
      </c>
      <c r="G26" s="17" t="s">
        <v>68</v>
      </c>
      <c r="H26" s="17" t="s">
        <v>54</v>
      </c>
      <c r="I26" s="17" t="b">
        <v>1</v>
      </c>
      <c r="J26" s="17" t="b">
        <v>1</v>
      </c>
      <c r="K26" s="19" t="s">
        <v>86</v>
      </c>
    </row>
    <row r="27" ht="22.5" customHeight="1">
      <c r="A27" s="16">
        <f>COUNTIF('Main BUS Message'!$A$1:$A$10091,B27)</f>
        <v>0</v>
      </c>
      <c r="B27" s="17" t="s">
        <v>89</v>
      </c>
      <c r="C27" s="17" t="s">
        <v>90</v>
      </c>
      <c r="F27" s="18">
        <f t="shared" si="1"/>
        <v>0</v>
      </c>
      <c r="G27" s="17" t="s">
        <v>68</v>
      </c>
      <c r="H27" s="17" t="s">
        <v>91</v>
      </c>
      <c r="I27" s="17" t="b">
        <v>0</v>
      </c>
      <c r="J27" s="17" t="b">
        <v>0</v>
      </c>
      <c r="K27" s="19" t="s">
        <v>86</v>
      </c>
    </row>
    <row r="28" ht="22.5" customHeight="1">
      <c r="A28" s="16">
        <f>COUNTIF('Main BUS Message'!$A$1:$A$10091,B28)</f>
        <v>0</v>
      </c>
      <c r="B28" s="17" t="s">
        <v>92</v>
      </c>
      <c r="C28" s="17" t="s">
        <v>93</v>
      </c>
      <c r="F28" s="18">
        <f t="shared" si="1"/>
        <v>0</v>
      </c>
      <c r="G28" s="17" t="s">
        <v>68</v>
      </c>
      <c r="H28" s="17" t="s">
        <v>91</v>
      </c>
      <c r="I28" s="17" t="b">
        <v>0</v>
      </c>
      <c r="J28" s="17" t="b">
        <v>0</v>
      </c>
      <c r="K28" s="19" t="s">
        <v>86</v>
      </c>
    </row>
    <row r="29" ht="22.5" customHeight="1">
      <c r="A29" s="16">
        <f>COUNTIF('Main BUS Message'!$A$1:$A$10091,B29)</f>
        <v>0</v>
      </c>
      <c r="B29" s="17" t="s">
        <v>94</v>
      </c>
      <c r="C29" s="17" t="s">
        <v>95</v>
      </c>
      <c r="F29" s="18">
        <f t="shared" si="1"/>
        <v>0</v>
      </c>
      <c r="G29" s="17" t="s">
        <v>68</v>
      </c>
      <c r="H29" s="17" t="s">
        <v>91</v>
      </c>
      <c r="I29" s="17" t="b">
        <v>0</v>
      </c>
      <c r="J29" s="17" t="b">
        <v>0</v>
      </c>
      <c r="K29" s="19" t="s">
        <v>86</v>
      </c>
    </row>
    <row r="30" ht="22.5" customHeight="1">
      <c r="A30" s="16">
        <f>COUNTIF('Main BUS Message'!$A$1:$A$10091,B30)</f>
        <v>0</v>
      </c>
      <c r="B30" s="17" t="s">
        <v>96</v>
      </c>
      <c r="C30" s="17" t="s">
        <v>97</v>
      </c>
      <c r="F30" s="18">
        <f t="shared" si="1"/>
        <v>0</v>
      </c>
      <c r="G30" s="17" t="s">
        <v>68</v>
      </c>
      <c r="H30" s="17" t="s">
        <v>91</v>
      </c>
      <c r="I30" s="17" t="b">
        <v>0</v>
      </c>
      <c r="J30" s="17" t="b">
        <v>0</v>
      </c>
      <c r="K30" s="19" t="s">
        <v>86</v>
      </c>
    </row>
    <row r="31" ht="22.5" customHeight="1">
      <c r="A31" s="16">
        <f>COUNTIF('Main BUS Message'!$A$1:$A$10091,B31)</f>
        <v>0</v>
      </c>
      <c r="B31" s="17" t="s">
        <v>98</v>
      </c>
      <c r="C31" s="17" t="s">
        <v>99</v>
      </c>
      <c r="F31" s="18">
        <f t="shared" si="1"/>
        <v>0</v>
      </c>
      <c r="G31" s="17" t="s">
        <v>68</v>
      </c>
      <c r="H31" s="17" t="s">
        <v>91</v>
      </c>
      <c r="I31" s="17" t="b">
        <v>0</v>
      </c>
      <c r="J31" s="17" t="b">
        <v>0</v>
      </c>
      <c r="K31" s="19" t="s">
        <v>86</v>
      </c>
    </row>
    <row r="32" ht="22.5" customHeight="1">
      <c r="A32" s="16">
        <f>COUNTIF('Main BUS Message'!$A$1:$A$10091,B32)</f>
        <v>0</v>
      </c>
      <c r="B32" s="17" t="s">
        <v>100</v>
      </c>
      <c r="C32" s="17" t="s">
        <v>101</v>
      </c>
      <c r="F32" s="18">
        <f t="shared" si="1"/>
        <v>0</v>
      </c>
      <c r="G32" s="17" t="s">
        <v>68</v>
      </c>
      <c r="H32" s="17" t="s">
        <v>91</v>
      </c>
      <c r="I32" s="17" t="b">
        <v>0</v>
      </c>
      <c r="J32" s="17" t="b">
        <v>0</v>
      </c>
      <c r="K32" s="19" t="s">
        <v>86</v>
      </c>
    </row>
    <row r="33" ht="22.5" customHeight="1">
      <c r="A33" s="16">
        <f>COUNTIF('Main BUS Message'!$A$1:$A$10091,B33)</f>
        <v>0</v>
      </c>
      <c r="B33" s="17" t="s">
        <v>102</v>
      </c>
      <c r="C33" s="17" t="s">
        <v>103</v>
      </c>
      <c r="F33" s="18">
        <f t="shared" si="1"/>
        <v>0</v>
      </c>
      <c r="G33" s="17" t="s">
        <v>68</v>
      </c>
      <c r="H33" s="17" t="s">
        <v>91</v>
      </c>
      <c r="I33" s="17" t="b">
        <v>0</v>
      </c>
      <c r="J33" s="17" t="b">
        <v>0</v>
      </c>
      <c r="K33" s="19" t="s">
        <v>86</v>
      </c>
    </row>
    <row r="34" ht="22.5" customHeight="1">
      <c r="A34" s="16">
        <f>COUNTIF('Main BUS Message'!$A$1:$A$10091,B34)</f>
        <v>0</v>
      </c>
      <c r="B34" s="17" t="s">
        <v>104</v>
      </c>
      <c r="C34" s="17" t="s">
        <v>105</v>
      </c>
      <c r="F34" s="18">
        <f t="shared" si="1"/>
        <v>0</v>
      </c>
      <c r="G34" s="17" t="s">
        <v>68</v>
      </c>
      <c r="H34" s="17" t="s">
        <v>91</v>
      </c>
      <c r="I34" s="17" t="b">
        <v>0</v>
      </c>
      <c r="J34" s="17" t="b">
        <v>0</v>
      </c>
      <c r="K34" s="19" t="s">
        <v>86</v>
      </c>
    </row>
    <row r="35" ht="22.5" customHeight="1">
      <c r="A35" s="16">
        <f>COUNTIF('Main BUS Message'!$A$1:$A$10091,B35)</f>
        <v>0</v>
      </c>
      <c r="B35" s="17" t="s">
        <v>106</v>
      </c>
      <c r="C35" s="17" t="s">
        <v>107</v>
      </c>
      <c r="F35" s="18">
        <f t="shared" si="1"/>
        <v>0</v>
      </c>
      <c r="G35" s="17" t="s">
        <v>68</v>
      </c>
      <c r="H35" s="17" t="s">
        <v>91</v>
      </c>
      <c r="I35" s="17" t="b">
        <v>0</v>
      </c>
      <c r="J35" s="17" t="b">
        <v>0</v>
      </c>
      <c r="K35" s="19" t="s">
        <v>86</v>
      </c>
    </row>
    <row r="36" ht="22.5" customHeight="1">
      <c r="A36" s="16">
        <f>COUNTIF('Main BUS Message'!$A$1:$A$10091,B36)</f>
        <v>0</v>
      </c>
      <c r="B36" s="17" t="s">
        <v>108</v>
      </c>
      <c r="C36" s="17" t="s">
        <v>109</v>
      </c>
      <c r="F36" s="18">
        <f t="shared" si="1"/>
        <v>0</v>
      </c>
      <c r="G36" s="17" t="s">
        <v>68</v>
      </c>
      <c r="H36" s="17" t="s">
        <v>91</v>
      </c>
      <c r="I36" s="17" t="b">
        <v>0</v>
      </c>
      <c r="J36" s="17" t="b">
        <v>0</v>
      </c>
      <c r="K36" s="19" t="s">
        <v>86</v>
      </c>
    </row>
    <row r="37" ht="22.5" customHeight="1">
      <c r="A37" s="16">
        <f>COUNTIF('Main BUS Message'!$A$1:$A$10091,B37)</f>
        <v>0</v>
      </c>
      <c r="B37" s="17" t="s">
        <v>110</v>
      </c>
      <c r="C37" s="17" t="s">
        <v>111</v>
      </c>
      <c r="F37" s="18">
        <f t="shared" si="1"/>
        <v>0</v>
      </c>
      <c r="G37" s="17" t="s">
        <v>68</v>
      </c>
      <c r="H37" s="17" t="s">
        <v>91</v>
      </c>
      <c r="I37" s="17" t="b">
        <v>0</v>
      </c>
      <c r="J37" s="17" t="b">
        <v>0</v>
      </c>
      <c r="K37" s="19" t="s">
        <v>86</v>
      </c>
    </row>
    <row r="38" ht="22.5" customHeight="1">
      <c r="A38" s="16">
        <f>COUNTIF('Main BUS Message'!$A$1:$A$10091,B38)</f>
        <v>0</v>
      </c>
      <c r="B38" s="17" t="s">
        <v>112</v>
      </c>
      <c r="C38" s="17" t="s">
        <v>113</v>
      </c>
      <c r="F38" s="18">
        <f t="shared" si="1"/>
        <v>0</v>
      </c>
      <c r="G38" s="17" t="s">
        <v>68</v>
      </c>
      <c r="H38" s="17" t="s">
        <v>91</v>
      </c>
      <c r="I38" s="17" t="b">
        <v>0</v>
      </c>
      <c r="J38" s="17" t="b">
        <v>0</v>
      </c>
      <c r="K38" s="19" t="s">
        <v>86</v>
      </c>
    </row>
    <row r="39" ht="22.5" customHeight="1">
      <c r="A39" s="16">
        <f>COUNTIF('Main BUS Message'!$A$1:$A$10091,B39)</f>
        <v>1</v>
      </c>
      <c r="B39" s="17" t="s">
        <v>114</v>
      </c>
      <c r="C39" s="17" t="s">
        <v>115</v>
      </c>
      <c r="D39" s="17">
        <v>100.0</v>
      </c>
      <c r="E39" s="17">
        <v>2.0</v>
      </c>
      <c r="F39" s="18">
        <f t="shared" si="1"/>
        <v>0.05</v>
      </c>
      <c r="G39" s="17" t="s">
        <v>116</v>
      </c>
      <c r="H39" s="19" t="s">
        <v>117</v>
      </c>
      <c r="I39" s="17" t="b">
        <v>1</v>
      </c>
      <c r="J39" s="17" t="b">
        <v>0</v>
      </c>
      <c r="K39" s="19" t="s">
        <v>118</v>
      </c>
    </row>
    <row r="40" ht="22.5" customHeight="1">
      <c r="A40" s="16">
        <f>COUNTIF('Main BUS Message'!$A$1:$A$10091,B40)</f>
        <v>1</v>
      </c>
      <c r="B40" s="21" t="s">
        <v>119</v>
      </c>
      <c r="C40" s="17" t="s">
        <v>120</v>
      </c>
      <c r="D40" s="22">
        <v>1000.0</v>
      </c>
      <c r="E40" s="22">
        <v>8.0</v>
      </c>
      <c r="F40" s="18">
        <f t="shared" si="1"/>
        <v>0.011</v>
      </c>
      <c r="G40" s="21" t="s">
        <v>116</v>
      </c>
      <c r="H40" s="21" t="s">
        <v>54</v>
      </c>
      <c r="I40" s="23" t="b">
        <v>1</v>
      </c>
      <c r="J40" s="23" t="b">
        <v>0</v>
      </c>
      <c r="K40" s="24" t="s">
        <v>55</v>
      </c>
    </row>
    <row r="41" ht="22.5" customHeight="1">
      <c r="A41" s="16">
        <f>COUNTIF('Main BUS Message'!$A$1:$A$10091,B41)</f>
        <v>0</v>
      </c>
      <c r="B41" s="17" t="s">
        <v>121</v>
      </c>
      <c r="C41" s="17" t="s">
        <v>122</v>
      </c>
      <c r="D41" s="17">
        <v>1000.0</v>
      </c>
      <c r="E41" s="17">
        <v>8.0</v>
      </c>
      <c r="F41" s="18">
        <f t="shared" si="1"/>
        <v>0</v>
      </c>
      <c r="G41" s="17" t="s">
        <v>21</v>
      </c>
      <c r="H41" s="17" t="s">
        <v>54</v>
      </c>
      <c r="I41" s="17" t="b">
        <v>0</v>
      </c>
      <c r="J41" s="17" t="b">
        <v>0</v>
      </c>
      <c r="K41" s="19" t="s">
        <v>55</v>
      </c>
    </row>
    <row r="42" ht="22.5" customHeight="1">
      <c r="A42" s="16">
        <f>COUNTIF('Main BUS Message'!$A$1:$A$10091,B42)</f>
        <v>1</v>
      </c>
      <c r="B42" s="17" t="s">
        <v>123</v>
      </c>
      <c r="C42" s="17" t="s">
        <v>124</v>
      </c>
      <c r="D42" s="17">
        <v>30.0</v>
      </c>
      <c r="E42" s="17">
        <v>8.0</v>
      </c>
      <c r="F42" s="18">
        <f t="shared" si="1"/>
        <v>0.3666666667</v>
      </c>
      <c r="G42" s="17" t="s">
        <v>125</v>
      </c>
      <c r="H42" s="17" t="s">
        <v>58</v>
      </c>
      <c r="I42" s="17" t="b">
        <v>1</v>
      </c>
      <c r="J42" s="17" t="b">
        <v>0</v>
      </c>
      <c r="K42" s="19" t="s">
        <v>126</v>
      </c>
    </row>
    <row r="43" ht="22.5" customHeight="1">
      <c r="A43" s="16">
        <f>COUNTIF('Main BUS Message'!$A$1:$A$10091,B43)</f>
        <v>1</v>
      </c>
      <c r="B43" s="17" t="s">
        <v>127</v>
      </c>
      <c r="C43" s="17" t="s">
        <v>128</v>
      </c>
      <c r="D43" s="17">
        <v>30.0</v>
      </c>
      <c r="E43" s="17">
        <v>8.0</v>
      </c>
      <c r="F43" s="18">
        <f t="shared" si="1"/>
        <v>0.3666666667</v>
      </c>
      <c r="G43" s="17" t="s">
        <v>125</v>
      </c>
      <c r="H43" s="17" t="s">
        <v>58</v>
      </c>
      <c r="I43" s="17" t="b">
        <v>1</v>
      </c>
      <c r="J43" s="17" t="b">
        <v>0</v>
      </c>
      <c r="K43" s="19" t="s">
        <v>129</v>
      </c>
    </row>
    <row r="44" ht="22.5" customHeight="1">
      <c r="A44" s="16">
        <f>COUNTIF('Main BUS Message'!$A$1:$A$10091,B44)</f>
        <v>1</v>
      </c>
      <c r="B44" s="17" t="s">
        <v>130</v>
      </c>
      <c r="C44" s="17" t="s">
        <v>131</v>
      </c>
      <c r="D44" s="17">
        <v>30.0</v>
      </c>
      <c r="E44" s="17">
        <v>8.0</v>
      </c>
      <c r="F44" s="18">
        <f t="shared" si="1"/>
        <v>0.3666666667</v>
      </c>
      <c r="G44" s="17" t="s">
        <v>125</v>
      </c>
      <c r="H44" s="17" t="s">
        <v>58</v>
      </c>
      <c r="I44" s="17" t="b">
        <v>1</v>
      </c>
      <c r="J44" s="17" t="b">
        <v>0</v>
      </c>
      <c r="K44" s="19" t="s">
        <v>132</v>
      </c>
    </row>
    <row r="45" ht="22.5" customHeight="1">
      <c r="A45" s="16">
        <f>COUNTIF('Main BUS Message'!$A$1:$A$10091,B45)</f>
        <v>1</v>
      </c>
      <c r="B45" s="17" t="s">
        <v>133</v>
      </c>
      <c r="C45" s="17" t="s">
        <v>134</v>
      </c>
      <c r="D45" s="17">
        <v>30.0</v>
      </c>
      <c r="E45" s="17">
        <v>8.0</v>
      </c>
      <c r="F45" s="18">
        <f t="shared" si="1"/>
        <v>0.3666666667</v>
      </c>
      <c r="G45" s="17" t="s">
        <v>125</v>
      </c>
      <c r="H45" s="17" t="s">
        <v>58</v>
      </c>
      <c r="I45" s="17" t="b">
        <v>1</v>
      </c>
      <c r="J45" s="17" t="b">
        <v>0</v>
      </c>
      <c r="K45" s="19" t="s">
        <v>135</v>
      </c>
    </row>
    <row r="46" ht="22.5" customHeight="1">
      <c r="A46" s="16">
        <f>COUNTIF('Main BUS Message'!$A$1:$A$10091,B46)</f>
        <v>1</v>
      </c>
      <c r="B46" s="17" t="s">
        <v>136</v>
      </c>
      <c r="C46" s="17" t="s">
        <v>137</v>
      </c>
      <c r="D46" s="17">
        <v>30.0</v>
      </c>
      <c r="E46" s="17">
        <v>8.0</v>
      </c>
      <c r="F46" s="18">
        <f t="shared" si="1"/>
        <v>0.3666666667</v>
      </c>
      <c r="G46" s="17" t="s">
        <v>138</v>
      </c>
      <c r="H46" s="17" t="s">
        <v>58</v>
      </c>
      <c r="I46" s="17" t="b">
        <v>1</v>
      </c>
      <c r="J46" s="17" t="b">
        <v>0</v>
      </c>
      <c r="K46" s="19" t="s">
        <v>139</v>
      </c>
    </row>
    <row r="47" ht="22.5" customHeight="1">
      <c r="A47" s="16">
        <f>COUNTIF('Main BUS Message'!$A$1:$A$10091,B47)</f>
        <v>1</v>
      </c>
      <c r="B47" s="17" t="s">
        <v>140</v>
      </c>
      <c r="C47" s="17" t="s">
        <v>141</v>
      </c>
      <c r="D47" s="17">
        <v>30.0</v>
      </c>
      <c r="E47" s="17">
        <v>8.0</v>
      </c>
      <c r="F47" s="18">
        <f t="shared" si="1"/>
        <v>0.3666666667</v>
      </c>
      <c r="G47" s="17" t="s">
        <v>138</v>
      </c>
      <c r="H47" s="17" t="s">
        <v>58</v>
      </c>
      <c r="I47" s="17" t="b">
        <v>1</v>
      </c>
      <c r="J47" s="17" t="b">
        <v>0</v>
      </c>
      <c r="K47" s="19" t="s">
        <v>142</v>
      </c>
    </row>
    <row r="48" ht="22.5" customHeight="1">
      <c r="A48" s="16">
        <f>COUNTIF('Main BUS Message'!$A$1:$A$10091,B48)</f>
        <v>1</v>
      </c>
      <c r="B48" s="17" t="s">
        <v>143</v>
      </c>
      <c r="C48" s="17" t="s">
        <v>144</v>
      </c>
      <c r="D48" s="17">
        <v>30.0</v>
      </c>
      <c r="E48" s="17">
        <v>8.0</v>
      </c>
      <c r="F48" s="18">
        <f t="shared" si="1"/>
        <v>0.3666666667</v>
      </c>
      <c r="G48" s="17" t="s">
        <v>138</v>
      </c>
      <c r="H48" s="17" t="s">
        <v>58</v>
      </c>
      <c r="I48" s="17" t="b">
        <v>1</v>
      </c>
      <c r="J48" s="17" t="b">
        <v>0</v>
      </c>
      <c r="K48" s="19" t="s">
        <v>145</v>
      </c>
    </row>
    <row r="49" ht="22.5" customHeight="1">
      <c r="A49" s="16">
        <f>COUNTIF('Main BUS Message'!$A$1:$A$10091,B49)</f>
        <v>1</v>
      </c>
      <c r="B49" s="17" t="s">
        <v>146</v>
      </c>
      <c r="C49" s="17" t="s">
        <v>147</v>
      </c>
      <c r="D49" s="17">
        <v>30.0</v>
      </c>
      <c r="E49" s="17">
        <v>8.0</v>
      </c>
      <c r="F49" s="18">
        <f t="shared" si="1"/>
        <v>0.3666666667</v>
      </c>
      <c r="G49" s="17" t="s">
        <v>138</v>
      </c>
      <c r="H49" s="17" t="s">
        <v>58</v>
      </c>
      <c r="I49" s="17" t="b">
        <v>1</v>
      </c>
      <c r="J49" s="17" t="b">
        <v>0</v>
      </c>
      <c r="K49" s="19" t="s">
        <v>148</v>
      </c>
    </row>
    <row r="50" ht="22.5" customHeight="1">
      <c r="A50" s="16">
        <f>COUNTIF('Main BUS Message'!$A$1:$A$10091,B50)</f>
        <v>1</v>
      </c>
      <c r="B50" s="17" t="s">
        <v>149</v>
      </c>
      <c r="C50" s="17" t="s">
        <v>150</v>
      </c>
      <c r="D50" s="17">
        <v>1000.0</v>
      </c>
      <c r="E50" s="17">
        <v>8.0</v>
      </c>
      <c r="F50" s="18">
        <f t="shared" si="1"/>
        <v>0.011</v>
      </c>
      <c r="G50" s="17" t="s">
        <v>151</v>
      </c>
      <c r="H50" s="17" t="s">
        <v>54</v>
      </c>
      <c r="I50" s="17" t="b">
        <v>1</v>
      </c>
      <c r="J50" s="17" t="b">
        <v>1</v>
      </c>
      <c r="K50" s="19" t="s">
        <v>55</v>
      </c>
    </row>
    <row r="51" ht="22.5" customHeight="1">
      <c r="A51" s="16">
        <f>COUNTIF('Main BUS Message'!$A$1:$A$10091,B51)</f>
        <v>1</v>
      </c>
      <c r="B51" s="17" t="s">
        <v>152</v>
      </c>
      <c r="C51" s="17" t="s">
        <v>153</v>
      </c>
      <c r="D51" s="17">
        <v>100.0</v>
      </c>
      <c r="E51" s="17">
        <v>3.0</v>
      </c>
      <c r="F51" s="18">
        <f t="shared" si="1"/>
        <v>0.06</v>
      </c>
      <c r="G51" s="17" t="s">
        <v>151</v>
      </c>
      <c r="H51" s="17" t="s">
        <v>58</v>
      </c>
      <c r="I51" s="17" t="b">
        <v>1</v>
      </c>
      <c r="J51" s="17" t="b">
        <v>1</v>
      </c>
      <c r="K51" s="19" t="s">
        <v>154</v>
      </c>
    </row>
    <row r="52" ht="22.5" customHeight="1">
      <c r="A52" s="16">
        <f>COUNTIF('Main BUS Message'!$A$1:$A$10091,B52)</f>
        <v>1</v>
      </c>
      <c r="B52" s="17" t="s">
        <v>155</v>
      </c>
      <c r="C52" s="17" t="s">
        <v>156</v>
      </c>
      <c r="D52" s="17">
        <v>100.0</v>
      </c>
      <c r="E52" s="17">
        <v>8.0</v>
      </c>
      <c r="F52" s="18">
        <f t="shared" si="1"/>
        <v>0.11</v>
      </c>
      <c r="G52" s="17" t="s">
        <v>22</v>
      </c>
      <c r="H52" s="17" t="s">
        <v>54</v>
      </c>
      <c r="I52" s="17" t="b">
        <v>1</v>
      </c>
      <c r="J52" s="17" t="b">
        <v>0</v>
      </c>
      <c r="K52" s="19" t="s">
        <v>157</v>
      </c>
    </row>
    <row r="53" ht="22.5" customHeight="1">
      <c r="A53" s="16">
        <f>COUNTIF('Main BUS Message'!$A$1:$A$10091,B53)</f>
        <v>1</v>
      </c>
      <c r="B53" s="17" t="s">
        <v>158</v>
      </c>
      <c r="C53" s="17" t="s">
        <v>159</v>
      </c>
      <c r="D53" s="17">
        <v>100.0</v>
      </c>
      <c r="E53" s="17">
        <v>8.0</v>
      </c>
      <c r="F53" s="18">
        <f t="shared" si="1"/>
        <v>0.11</v>
      </c>
      <c r="G53" s="17" t="s">
        <v>22</v>
      </c>
      <c r="H53" s="17" t="s">
        <v>54</v>
      </c>
      <c r="I53" s="17" t="b">
        <v>1</v>
      </c>
      <c r="J53" s="17" t="b">
        <v>0</v>
      </c>
      <c r="K53" s="19" t="s">
        <v>160</v>
      </c>
    </row>
    <row r="54" ht="22.5" customHeight="1">
      <c r="A54" s="16">
        <f>COUNTIF('Main BUS Message'!$A$1:$A$10091,B54)</f>
        <v>1</v>
      </c>
      <c r="B54" s="17" t="s">
        <v>161</v>
      </c>
      <c r="C54" s="17" t="s">
        <v>162</v>
      </c>
      <c r="D54" s="17">
        <v>100.0</v>
      </c>
      <c r="E54" s="17">
        <v>8.0</v>
      </c>
      <c r="F54" s="18">
        <f t="shared" si="1"/>
        <v>0.11</v>
      </c>
      <c r="G54" s="17" t="s">
        <v>22</v>
      </c>
      <c r="H54" s="17" t="s">
        <v>54</v>
      </c>
      <c r="I54" s="17" t="b">
        <v>1</v>
      </c>
      <c r="J54" s="17" t="b">
        <v>0</v>
      </c>
      <c r="K54" s="19" t="s">
        <v>163</v>
      </c>
    </row>
    <row r="55" ht="22.5" customHeight="1">
      <c r="A55" s="16">
        <f>COUNTIF('Main BUS Message'!$A$1:$A$10091,B55)</f>
        <v>1</v>
      </c>
      <c r="B55" s="17" t="s">
        <v>164</v>
      </c>
      <c r="C55" s="17" t="s">
        <v>165</v>
      </c>
      <c r="D55" s="17">
        <v>100.0</v>
      </c>
      <c r="E55" s="17">
        <v>8.0</v>
      </c>
      <c r="F55" s="18">
        <f t="shared" si="1"/>
        <v>0.11</v>
      </c>
      <c r="G55" s="17" t="s">
        <v>22</v>
      </c>
      <c r="H55" s="17" t="s">
        <v>54</v>
      </c>
      <c r="I55" s="17" t="b">
        <v>1</v>
      </c>
      <c r="J55" s="17" t="b">
        <v>0</v>
      </c>
      <c r="K55" s="19" t="s">
        <v>166</v>
      </c>
    </row>
    <row r="56" ht="22.5" customHeight="1">
      <c r="A56" s="16">
        <f>COUNTIF('Main BUS Message'!$A$1:$A$10091,B56)</f>
        <v>1</v>
      </c>
      <c r="B56" s="17" t="s">
        <v>167</v>
      </c>
      <c r="C56" s="17" t="s">
        <v>168</v>
      </c>
      <c r="D56" s="17">
        <v>100.0</v>
      </c>
      <c r="E56" s="17">
        <v>8.0</v>
      </c>
      <c r="F56" s="18">
        <f t="shared" si="1"/>
        <v>0.11</v>
      </c>
      <c r="G56" s="17" t="s">
        <v>22</v>
      </c>
      <c r="H56" s="17" t="s">
        <v>54</v>
      </c>
      <c r="I56" s="17" t="b">
        <v>1</v>
      </c>
      <c r="J56" s="17" t="b">
        <v>0</v>
      </c>
      <c r="K56" s="19" t="s">
        <v>169</v>
      </c>
    </row>
    <row r="57" ht="22.5" customHeight="1">
      <c r="A57" s="16">
        <f>COUNTIF('Main BUS Message'!$A$1:$A$10091,B57)</f>
        <v>1</v>
      </c>
      <c r="B57" s="17" t="s">
        <v>170</v>
      </c>
      <c r="C57" s="17" t="s">
        <v>171</v>
      </c>
      <c r="D57" s="17">
        <v>1000.0</v>
      </c>
      <c r="E57" s="17">
        <v>8.0</v>
      </c>
      <c r="F57" s="18">
        <f t="shared" si="1"/>
        <v>0</v>
      </c>
      <c r="G57" s="17" t="s">
        <v>54</v>
      </c>
      <c r="H57" s="17" t="s">
        <v>54</v>
      </c>
      <c r="I57" s="17" t="b">
        <v>0</v>
      </c>
      <c r="J57" s="17" t="b">
        <v>0</v>
      </c>
      <c r="K57" s="19" t="s">
        <v>172</v>
      </c>
    </row>
    <row r="58" ht="22.5" customHeight="1">
      <c r="A58" s="16">
        <f>COUNTIF('Main BUS Message'!$A$1:$A$10091,B58)</f>
        <v>1</v>
      </c>
      <c r="B58" s="17" t="s">
        <v>173</v>
      </c>
      <c r="C58" s="17" t="s">
        <v>174</v>
      </c>
      <c r="D58" s="17">
        <v>1000.0</v>
      </c>
      <c r="E58" s="17">
        <v>8.0</v>
      </c>
      <c r="F58" s="18">
        <f t="shared" si="1"/>
        <v>0.011</v>
      </c>
      <c r="G58" s="17" t="s">
        <v>175</v>
      </c>
      <c r="H58" s="17" t="s">
        <v>54</v>
      </c>
      <c r="I58" s="17" t="b">
        <v>1</v>
      </c>
      <c r="J58" s="17" t="b">
        <v>1</v>
      </c>
      <c r="K58" s="19" t="s">
        <v>55</v>
      </c>
    </row>
    <row r="59" ht="22.5" customHeight="1">
      <c r="A59" s="25">
        <f>COUNTIF('Main BUS Message'!$A$1:$A$10091,B59)</f>
        <v>1</v>
      </c>
      <c r="B59" s="17" t="s">
        <v>176</v>
      </c>
      <c r="C59" s="17" t="s">
        <v>177</v>
      </c>
      <c r="D59" s="26">
        <v>30.0</v>
      </c>
      <c r="E59" s="26">
        <v>8.0</v>
      </c>
      <c r="F59" s="27">
        <f t="shared" si="1"/>
        <v>0.3666666667</v>
      </c>
      <c r="G59" s="28" t="s">
        <v>178</v>
      </c>
      <c r="H59" s="29" t="s">
        <v>58</v>
      </c>
      <c r="I59" s="30" t="b">
        <v>1</v>
      </c>
      <c r="J59" s="30" t="b">
        <v>0</v>
      </c>
      <c r="K59" s="31" t="s">
        <v>179</v>
      </c>
    </row>
    <row r="60" ht="22.5" customHeight="1">
      <c r="A60" s="25">
        <f>COUNTIF('Main BUS Message'!$A$1:$A$10091,B60)</f>
        <v>1</v>
      </c>
      <c r="B60" s="17" t="s">
        <v>180</v>
      </c>
      <c r="C60" s="17" t="s">
        <v>181</v>
      </c>
      <c r="D60" s="32">
        <v>30.0</v>
      </c>
      <c r="E60" s="32">
        <v>8.0</v>
      </c>
      <c r="F60" s="33">
        <f t="shared" si="1"/>
        <v>0.3666666667</v>
      </c>
      <c r="G60" s="34" t="s">
        <v>178</v>
      </c>
      <c r="H60" s="35" t="s">
        <v>58</v>
      </c>
      <c r="I60" s="36" t="b">
        <v>1</v>
      </c>
      <c r="J60" s="36" t="b">
        <v>0</v>
      </c>
      <c r="K60" s="37" t="s">
        <v>182</v>
      </c>
    </row>
    <row r="61" ht="22.5" customHeight="1">
      <c r="A61" s="25">
        <f>COUNTIF('Main BUS Message'!$A$1:$A$10091,B61)</f>
        <v>1</v>
      </c>
      <c r="B61" s="17" t="s">
        <v>183</v>
      </c>
      <c r="C61" s="17" t="s">
        <v>184</v>
      </c>
      <c r="D61" s="26">
        <v>30.0</v>
      </c>
      <c r="E61" s="26">
        <v>8.0</v>
      </c>
      <c r="F61" s="27">
        <f t="shared" si="1"/>
        <v>0.3666666667</v>
      </c>
      <c r="G61" s="28" t="s">
        <v>178</v>
      </c>
      <c r="H61" s="29" t="s">
        <v>58</v>
      </c>
      <c r="I61" s="30" t="b">
        <v>1</v>
      </c>
      <c r="J61" s="30" t="b">
        <v>0</v>
      </c>
      <c r="K61" s="31" t="s">
        <v>185</v>
      </c>
    </row>
    <row r="62" ht="22.5" customHeight="1">
      <c r="A62" s="38">
        <f>COUNTIF('Main BUS Message'!$A$1:$A$10091,B62)</f>
        <v>1</v>
      </c>
      <c r="B62" s="17" t="s">
        <v>186</v>
      </c>
      <c r="C62" s="17" t="s">
        <v>187</v>
      </c>
      <c r="D62" s="39">
        <v>30.0</v>
      </c>
      <c r="E62" s="39">
        <v>8.0</v>
      </c>
      <c r="F62" s="40">
        <f t="shared" si="1"/>
        <v>0.3666666667</v>
      </c>
      <c r="G62" s="41" t="s">
        <v>178</v>
      </c>
      <c r="H62" s="42" t="s">
        <v>58</v>
      </c>
      <c r="I62" s="43" t="b">
        <v>1</v>
      </c>
      <c r="J62" s="43" t="b">
        <v>0</v>
      </c>
      <c r="K62" s="44" t="s">
        <v>188</v>
      </c>
      <c r="L62" s="45"/>
      <c r="M62" s="45"/>
      <c r="N62" s="45"/>
      <c r="O62" s="45"/>
      <c r="P62" s="45"/>
      <c r="Q62" s="45"/>
      <c r="R62" s="45"/>
      <c r="S62" s="45"/>
      <c r="T62" s="45"/>
      <c r="U62" s="45"/>
      <c r="V62" s="45"/>
      <c r="W62" s="45"/>
      <c r="X62" s="45"/>
      <c r="Y62" s="45"/>
      <c r="Z62" s="45"/>
      <c r="AA62" s="45"/>
      <c r="AB62" s="45"/>
      <c r="AC62" s="45"/>
      <c r="AD62" s="45"/>
      <c r="AE62" s="45"/>
    </row>
    <row r="63" ht="22.5" customHeight="1">
      <c r="A63" s="38">
        <f>COUNTIF('Main BUS Message'!$A$1:$A$10091,B63)</f>
        <v>1</v>
      </c>
      <c r="B63" s="17" t="s">
        <v>189</v>
      </c>
      <c r="C63" s="17" t="s">
        <v>190</v>
      </c>
      <c r="D63" s="46">
        <v>30.0</v>
      </c>
      <c r="E63" s="46">
        <v>8.0</v>
      </c>
      <c r="F63" s="47">
        <f t="shared" si="1"/>
        <v>0.3666666667</v>
      </c>
      <c r="G63" s="48" t="s">
        <v>191</v>
      </c>
      <c r="H63" s="49" t="s">
        <v>58</v>
      </c>
      <c r="I63" s="50" t="b">
        <v>1</v>
      </c>
      <c r="J63" s="50" t="b">
        <v>0</v>
      </c>
      <c r="K63" s="51" t="s">
        <v>192</v>
      </c>
      <c r="L63" s="45"/>
      <c r="M63" s="45"/>
      <c r="N63" s="45"/>
      <c r="O63" s="45"/>
      <c r="P63" s="45"/>
      <c r="Q63" s="45"/>
      <c r="R63" s="45"/>
      <c r="S63" s="45"/>
      <c r="T63" s="45"/>
      <c r="U63" s="45"/>
      <c r="V63" s="45"/>
      <c r="W63" s="45"/>
      <c r="X63" s="45"/>
      <c r="Y63" s="45"/>
      <c r="Z63" s="45"/>
      <c r="AA63" s="45"/>
      <c r="AB63" s="45"/>
      <c r="AC63" s="45"/>
      <c r="AD63" s="45"/>
      <c r="AE63" s="45"/>
    </row>
    <row r="64" ht="22.5" customHeight="1">
      <c r="A64" s="38">
        <f>COUNTIF('Main BUS Message'!$A$1:$A$10091,B64)</f>
        <v>1</v>
      </c>
      <c r="B64" s="17" t="s">
        <v>193</v>
      </c>
      <c r="C64" s="17" t="s">
        <v>194</v>
      </c>
      <c r="D64" s="39">
        <v>30.0</v>
      </c>
      <c r="E64" s="39">
        <v>8.0</v>
      </c>
      <c r="F64" s="40">
        <f t="shared" si="1"/>
        <v>0.3666666667</v>
      </c>
      <c r="G64" s="41" t="s">
        <v>191</v>
      </c>
      <c r="H64" s="42" t="s">
        <v>58</v>
      </c>
      <c r="I64" s="43" t="b">
        <v>1</v>
      </c>
      <c r="J64" s="43" t="b">
        <v>0</v>
      </c>
      <c r="K64" s="44" t="s">
        <v>195</v>
      </c>
      <c r="L64" s="45"/>
      <c r="M64" s="45"/>
      <c r="N64" s="45"/>
      <c r="O64" s="45"/>
      <c r="P64" s="45"/>
      <c r="Q64" s="45"/>
      <c r="R64" s="45"/>
      <c r="S64" s="45"/>
      <c r="T64" s="45"/>
      <c r="U64" s="45"/>
      <c r="V64" s="45"/>
      <c r="W64" s="45"/>
      <c r="X64" s="45"/>
      <c r="Y64" s="45"/>
      <c r="Z64" s="45"/>
      <c r="AA64" s="45"/>
      <c r="AB64" s="45"/>
      <c r="AC64" s="45"/>
      <c r="AD64" s="45"/>
      <c r="AE64" s="45"/>
    </row>
    <row r="65" ht="22.5" customHeight="1">
      <c r="A65" s="38">
        <f>COUNTIF('Main BUS Message'!$A$1:$A$10091,B65)</f>
        <v>1</v>
      </c>
      <c r="B65" s="17" t="s">
        <v>196</v>
      </c>
      <c r="C65" s="17" t="s">
        <v>197</v>
      </c>
      <c r="D65" s="46">
        <v>30.0</v>
      </c>
      <c r="E65" s="46">
        <v>8.0</v>
      </c>
      <c r="F65" s="47">
        <f t="shared" si="1"/>
        <v>0.3666666667</v>
      </c>
      <c r="G65" s="48" t="s">
        <v>191</v>
      </c>
      <c r="H65" s="49" t="s">
        <v>58</v>
      </c>
      <c r="I65" s="50" t="b">
        <v>1</v>
      </c>
      <c r="J65" s="50" t="b">
        <v>0</v>
      </c>
      <c r="K65" s="51" t="s">
        <v>198</v>
      </c>
      <c r="L65" s="45"/>
      <c r="M65" s="45"/>
      <c r="N65" s="45"/>
      <c r="O65" s="45"/>
      <c r="P65" s="45"/>
      <c r="Q65" s="45"/>
      <c r="R65" s="45"/>
      <c r="S65" s="45"/>
      <c r="T65" s="45"/>
      <c r="U65" s="45"/>
      <c r="V65" s="45"/>
      <c r="W65" s="45"/>
      <c r="X65" s="45"/>
      <c r="Y65" s="45"/>
      <c r="Z65" s="45"/>
      <c r="AA65" s="45"/>
      <c r="AB65" s="45"/>
      <c r="AC65" s="45"/>
      <c r="AD65" s="45"/>
      <c r="AE65" s="45"/>
    </row>
    <row r="66" ht="22.5" customHeight="1">
      <c r="A66" s="38">
        <f>COUNTIF('Main BUS Message'!$A$1:$A$10091,B66)</f>
        <v>1</v>
      </c>
      <c r="B66" s="17" t="s">
        <v>199</v>
      </c>
      <c r="C66" s="17" t="s">
        <v>200</v>
      </c>
      <c r="D66" s="39">
        <v>30.0</v>
      </c>
      <c r="E66" s="39">
        <v>8.0</v>
      </c>
      <c r="F66" s="40">
        <f t="shared" si="1"/>
        <v>0.3666666667</v>
      </c>
      <c r="G66" s="41" t="s">
        <v>191</v>
      </c>
      <c r="H66" s="42" t="s">
        <v>58</v>
      </c>
      <c r="I66" s="43" t="b">
        <v>1</v>
      </c>
      <c r="J66" s="43" t="b">
        <v>0</v>
      </c>
      <c r="K66" s="44" t="s">
        <v>201</v>
      </c>
      <c r="L66" s="45"/>
      <c r="M66" s="45"/>
      <c r="N66" s="45"/>
      <c r="O66" s="45"/>
      <c r="P66" s="45"/>
      <c r="Q66" s="45"/>
      <c r="R66" s="45"/>
      <c r="S66" s="45"/>
      <c r="T66" s="45"/>
      <c r="U66" s="45"/>
      <c r="V66" s="45"/>
      <c r="W66" s="45"/>
      <c r="X66" s="45"/>
      <c r="Y66" s="45"/>
      <c r="Z66" s="45"/>
      <c r="AA66" s="45"/>
      <c r="AB66" s="45"/>
      <c r="AC66" s="45"/>
      <c r="AD66" s="45"/>
      <c r="AE66" s="45"/>
    </row>
    <row r="67" ht="22.5" customHeight="1">
      <c r="A67" s="52">
        <f>COUNTIF('Main BUS Message'!$A$1:$A$10091,B67)</f>
        <v>1</v>
      </c>
      <c r="B67" s="21" t="s">
        <v>202</v>
      </c>
      <c r="C67" s="17" t="s">
        <v>203</v>
      </c>
      <c r="D67" s="53">
        <v>1000.0</v>
      </c>
      <c r="E67" s="53">
        <v>8.0</v>
      </c>
      <c r="F67" s="54">
        <f t="shared" si="1"/>
        <v>0.011</v>
      </c>
      <c r="G67" s="55" t="s">
        <v>58</v>
      </c>
      <c r="H67" s="56" t="s">
        <v>54</v>
      </c>
      <c r="I67" s="57" t="b">
        <v>1</v>
      </c>
      <c r="J67" s="57" t="b">
        <v>0</v>
      </c>
      <c r="K67" s="58" t="s">
        <v>55</v>
      </c>
      <c r="L67" s="45"/>
      <c r="M67" s="45"/>
      <c r="N67" s="45"/>
      <c r="O67" s="45"/>
      <c r="P67" s="45"/>
      <c r="Q67" s="45"/>
      <c r="R67" s="45"/>
      <c r="S67" s="45"/>
      <c r="T67" s="45"/>
      <c r="U67" s="45"/>
      <c r="V67" s="45"/>
      <c r="W67" s="45"/>
      <c r="X67" s="45"/>
      <c r="Y67" s="45"/>
      <c r="Z67" s="45"/>
      <c r="AA67" s="45"/>
      <c r="AB67" s="45"/>
      <c r="AC67" s="45"/>
      <c r="AD67" s="45"/>
      <c r="AE67" s="45"/>
    </row>
    <row r="68" ht="22.5" customHeight="1">
      <c r="A68" s="52">
        <f>COUNTIF('Main BUS Message'!$A$1:$A$10091,B68)</f>
        <v>1</v>
      </c>
      <c r="B68" s="17" t="s">
        <v>204</v>
      </c>
      <c r="C68" s="17" t="s">
        <v>205</v>
      </c>
      <c r="D68" s="59">
        <v>1000.0</v>
      </c>
      <c r="E68" s="59">
        <v>8.0</v>
      </c>
      <c r="F68" s="60">
        <f t="shared" si="1"/>
        <v>0.011</v>
      </c>
      <c r="G68" s="59" t="s">
        <v>206</v>
      </c>
      <c r="H68" s="59" t="s">
        <v>54</v>
      </c>
      <c r="I68" s="59" t="b">
        <v>1</v>
      </c>
      <c r="J68" s="59" t="b">
        <v>0</v>
      </c>
      <c r="K68" s="61" t="s">
        <v>55</v>
      </c>
      <c r="L68" s="45"/>
      <c r="M68" s="45"/>
      <c r="N68" s="45"/>
      <c r="O68" s="45"/>
      <c r="P68" s="45"/>
      <c r="Q68" s="45"/>
      <c r="R68" s="45"/>
      <c r="S68" s="45"/>
      <c r="T68" s="45"/>
      <c r="U68" s="45"/>
      <c r="V68" s="45"/>
      <c r="W68" s="45"/>
      <c r="X68" s="45"/>
      <c r="Y68" s="45"/>
      <c r="Z68" s="45"/>
      <c r="AA68" s="45"/>
      <c r="AB68" s="45"/>
      <c r="AC68" s="45"/>
      <c r="AD68" s="45"/>
      <c r="AE68" s="45"/>
    </row>
    <row r="69" ht="22.5" customHeight="1">
      <c r="A69" s="52">
        <f>COUNTIF('Main BUS Message'!$A$1:$A$10091,B69)</f>
        <v>1</v>
      </c>
      <c r="B69" s="17" t="s">
        <v>207</v>
      </c>
      <c r="C69" s="17" t="s">
        <v>208</v>
      </c>
      <c r="D69" s="62">
        <v>1000.0</v>
      </c>
      <c r="E69" s="62">
        <v>8.0</v>
      </c>
      <c r="F69" s="54">
        <f t="shared" si="1"/>
        <v>0</v>
      </c>
      <c r="G69" s="62" t="s">
        <v>209</v>
      </c>
      <c r="H69" s="62" t="s">
        <v>54</v>
      </c>
      <c r="I69" s="62" t="b">
        <v>0</v>
      </c>
      <c r="J69" s="62" t="b">
        <v>0</v>
      </c>
      <c r="K69" s="63" t="s">
        <v>55</v>
      </c>
      <c r="L69" s="45"/>
      <c r="M69" s="45"/>
      <c r="N69" s="45"/>
      <c r="O69" s="45"/>
      <c r="P69" s="45"/>
      <c r="Q69" s="45"/>
      <c r="R69" s="45"/>
      <c r="S69" s="45"/>
      <c r="T69" s="45"/>
      <c r="U69" s="45"/>
      <c r="V69" s="45"/>
      <c r="W69" s="45"/>
      <c r="X69" s="45"/>
      <c r="Y69" s="45"/>
      <c r="Z69" s="45"/>
      <c r="AA69" s="45"/>
      <c r="AB69" s="45"/>
      <c r="AC69" s="45"/>
      <c r="AD69" s="45"/>
      <c r="AE69" s="45"/>
    </row>
    <row r="70">
      <c r="A70" s="64"/>
      <c r="E70" s="5"/>
      <c r="J70" s="65"/>
    </row>
    <row r="71">
      <c r="A71" s="64"/>
      <c r="E71" s="5"/>
      <c r="J71" s="65"/>
    </row>
    <row r="72">
      <c r="A72" s="64"/>
      <c r="E72" s="5"/>
      <c r="J72" s="65"/>
    </row>
    <row r="73">
      <c r="A73" s="64"/>
      <c r="E73" s="5"/>
      <c r="J73" s="65"/>
    </row>
    <row r="74">
      <c r="A74" s="64"/>
      <c r="E74" s="5"/>
    </row>
    <row r="75">
      <c r="A75" s="64"/>
      <c r="E75" s="5"/>
    </row>
    <row r="76">
      <c r="A76" s="64"/>
      <c r="E76" s="5"/>
    </row>
    <row r="77">
      <c r="A77" s="64"/>
      <c r="E77" s="5"/>
    </row>
    <row r="78">
      <c r="A78" s="64"/>
      <c r="E78" s="5"/>
    </row>
    <row r="79">
      <c r="A79" s="64"/>
      <c r="E79" s="5"/>
    </row>
    <row r="80">
      <c r="A80" s="64"/>
      <c r="E80" s="5"/>
    </row>
    <row r="81">
      <c r="A81" s="64"/>
      <c r="E81" s="5"/>
    </row>
    <row r="82">
      <c r="A82" s="64"/>
      <c r="E82" s="5"/>
    </row>
    <row r="83">
      <c r="A83" s="64"/>
      <c r="E83" s="5"/>
    </row>
    <row r="84">
      <c r="A84" s="64"/>
      <c r="E84" s="5"/>
    </row>
    <row r="85">
      <c r="A85" s="64"/>
      <c r="E85" s="5"/>
    </row>
    <row r="86">
      <c r="A86" s="64"/>
      <c r="E86" s="5"/>
    </row>
    <row r="87">
      <c r="A87" s="64"/>
      <c r="E87" s="5"/>
    </row>
    <row r="88">
      <c r="A88" s="64"/>
      <c r="E88" s="5"/>
    </row>
    <row r="89">
      <c r="A89" s="64"/>
      <c r="E89" s="5"/>
    </row>
    <row r="90">
      <c r="A90" s="64"/>
      <c r="E90" s="5"/>
    </row>
    <row r="91">
      <c r="A91" s="64"/>
      <c r="E91" s="5"/>
    </row>
    <row r="92">
      <c r="A92" s="64"/>
      <c r="E92" s="5"/>
    </row>
    <row r="93">
      <c r="A93" s="64"/>
      <c r="E93" s="5"/>
    </row>
    <row r="94">
      <c r="A94" s="64"/>
      <c r="E94" s="5"/>
    </row>
    <row r="95">
      <c r="A95" s="64"/>
      <c r="E95" s="5"/>
    </row>
    <row r="96">
      <c r="A96" s="64"/>
      <c r="E96" s="5"/>
    </row>
    <row r="97">
      <c r="A97" s="64"/>
      <c r="E97" s="5"/>
    </row>
    <row r="98">
      <c r="A98" s="64"/>
      <c r="E98" s="5"/>
    </row>
    <row r="99">
      <c r="A99" s="64"/>
      <c r="E99" s="5"/>
    </row>
    <row r="100">
      <c r="A100" s="64"/>
      <c r="E100" s="5"/>
    </row>
    <row r="101">
      <c r="A101" s="64"/>
      <c r="E101" s="5"/>
    </row>
    <row r="102">
      <c r="A102" s="64"/>
      <c r="E102" s="5"/>
    </row>
    <row r="103">
      <c r="A103" s="64"/>
      <c r="E103" s="5"/>
    </row>
    <row r="104">
      <c r="A104" s="64"/>
      <c r="E104" s="5"/>
    </row>
    <row r="105">
      <c r="A105" s="64"/>
      <c r="E105" s="5"/>
    </row>
    <row r="106">
      <c r="A106" s="64"/>
      <c r="E106" s="5"/>
    </row>
    <row r="107">
      <c r="A107" s="64"/>
      <c r="E107" s="5"/>
    </row>
    <row r="108">
      <c r="A108" s="64"/>
      <c r="E108" s="5"/>
    </row>
    <row r="109">
      <c r="A109" s="64"/>
      <c r="E109" s="5"/>
    </row>
    <row r="110">
      <c r="A110" s="64"/>
      <c r="E110" s="5"/>
    </row>
    <row r="111">
      <c r="A111" s="64"/>
      <c r="E111" s="5"/>
    </row>
    <row r="112">
      <c r="A112" s="64"/>
      <c r="E112" s="5"/>
    </row>
    <row r="113">
      <c r="A113" s="64"/>
      <c r="E113" s="5"/>
    </row>
    <row r="114">
      <c r="A114" s="64"/>
      <c r="E114" s="5"/>
    </row>
    <row r="115">
      <c r="A115" s="64"/>
      <c r="E115" s="5"/>
    </row>
    <row r="116">
      <c r="A116" s="64"/>
      <c r="E116" s="5"/>
    </row>
    <row r="117">
      <c r="A117" s="64"/>
      <c r="E117" s="5"/>
    </row>
    <row r="118">
      <c r="A118" s="64"/>
      <c r="E118" s="5"/>
    </row>
    <row r="119">
      <c r="A119" s="64"/>
      <c r="E119" s="5"/>
    </row>
    <row r="120">
      <c r="A120" s="64"/>
      <c r="E120" s="5"/>
    </row>
    <row r="121">
      <c r="A121" s="64"/>
      <c r="E121" s="5"/>
    </row>
    <row r="122">
      <c r="A122" s="64"/>
      <c r="E122" s="5"/>
    </row>
    <row r="123">
      <c r="A123" s="64"/>
      <c r="E123" s="5"/>
    </row>
    <row r="124">
      <c r="A124" s="64"/>
      <c r="E124" s="5"/>
    </row>
    <row r="125">
      <c r="A125" s="64"/>
      <c r="E125" s="5"/>
    </row>
    <row r="126">
      <c r="A126" s="64"/>
      <c r="E126" s="5"/>
    </row>
    <row r="127">
      <c r="A127" s="64"/>
      <c r="E127" s="5"/>
    </row>
    <row r="128">
      <c r="A128" s="64"/>
      <c r="E128" s="5"/>
    </row>
    <row r="129">
      <c r="A129" s="64"/>
      <c r="E129" s="5"/>
    </row>
    <row r="130">
      <c r="A130" s="64"/>
      <c r="E130" s="5"/>
    </row>
    <row r="131">
      <c r="A131" s="64"/>
      <c r="E131" s="5"/>
    </row>
    <row r="132">
      <c r="A132" s="64"/>
      <c r="E132" s="5"/>
    </row>
    <row r="133">
      <c r="A133" s="64"/>
      <c r="E133" s="5"/>
    </row>
    <row r="134">
      <c r="A134" s="64"/>
      <c r="E134" s="5"/>
    </row>
    <row r="135">
      <c r="A135" s="64"/>
      <c r="E135" s="5"/>
    </row>
    <row r="136">
      <c r="A136" s="64"/>
      <c r="E136" s="5"/>
    </row>
    <row r="137">
      <c r="A137" s="64"/>
      <c r="E137" s="5"/>
    </row>
    <row r="138">
      <c r="A138" s="64"/>
      <c r="E138" s="5"/>
    </row>
    <row r="139">
      <c r="A139" s="64"/>
      <c r="E139" s="5"/>
    </row>
    <row r="140">
      <c r="A140" s="64"/>
      <c r="E140" s="5"/>
    </row>
    <row r="141">
      <c r="A141" s="64"/>
      <c r="E141" s="5"/>
    </row>
    <row r="142">
      <c r="A142" s="64"/>
      <c r="E142" s="5"/>
    </row>
    <row r="143">
      <c r="A143" s="64"/>
      <c r="E143" s="5"/>
    </row>
    <row r="144">
      <c r="A144" s="64"/>
      <c r="E144" s="5"/>
    </row>
    <row r="145">
      <c r="A145" s="64"/>
      <c r="E145" s="5"/>
    </row>
    <row r="146">
      <c r="A146" s="64"/>
      <c r="E146" s="5"/>
    </row>
    <row r="147">
      <c r="A147" s="64"/>
      <c r="E147" s="5"/>
    </row>
    <row r="148">
      <c r="A148" s="64"/>
      <c r="E148" s="5"/>
    </row>
    <row r="149">
      <c r="A149" s="64"/>
      <c r="E149" s="5"/>
    </row>
    <row r="150">
      <c r="A150" s="64"/>
      <c r="E150" s="5"/>
    </row>
    <row r="151">
      <c r="A151" s="64"/>
      <c r="E151" s="5"/>
    </row>
    <row r="152">
      <c r="A152" s="64"/>
      <c r="E152" s="5"/>
    </row>
    <row r="153">
      <c r="A153" s="64"/>
      <c r="E153" s="5"/>
    </row>
    <row r="154">
      <c r="A154" s="64"/>
      <c r="E154" s="5"/>
    </row>
    <row r="155">
      <c r="A155" s="64"/>
      <c r="E155" s="5"/>
    </row>
    <row r="156">
      <c r="A156" s="64"/>
      <c r="E156" s="5"/>
    </row>
    <row r="157">
      <c r="A157" s="64"/>
      <c r="E157" s="5"/>
    </row>
    <row r="158">
      <c r="A158" s="64"/>
      <c r="E158" s="5"/>
    </row>
    <row r="159">
      <c r="A159" s="64"/>
      <c r="E159" s="5"/>
    </row>
    <row r="160">
      <c r="A160" s="64"/>
      <c r="E160" s="5"/>
    </row>
    <row r="161">
      <c r="A161" s="64"/>
      <c r="E161" s="5"/>
    </row>
    <row r="162">
      <c r="A162" s="64"/>
      <c r="E162" s="5"/>
    </row>
    <row r="163">
      <c r="A163" s="64"/>
      <c r="E163" s="5"/>
    </row>
    <row r="164">
      <c r="A164" s="64"/>
      <c r="E164" s="5"/>
    </row>
    <row r="165">
      <c r="A165" s="64"/>
      <c r="E165" s="5"/>
    </row>
    <row r="166">
      <c r="A166" s="64"/>
      <c r="E166" s="5"/>
    </row>
    <row r="167">
      <c r="A167" s="64"/>
      <c r="E167" s="5"/>
    </row>
    <row r="168">
      <c r="A168" s="64"/>
      <c r="E168" s="5"/>
    </row>
    <row r="169">
      <c r="A169" s="64"/>
      <c r="E169" s="5"/>
    </row>
    <row r="170">
      <c r="A170" s="64"/>
      <c r="E170" s="5"/>
    </row>
    <row r="171">
      <c r="A171" s="64"/>
      <c r="E171" s="5"/>
    </row>
    <row r="172">
      <c r="A172" s="64"/>
      <c r="E172" s="5"/>
    </row>
    <row r="173">
      <c r="A173" s="64"/>
      <c r="E173" s="5"/>
    </row>
    <row r="174">
      <c r="A174" s="64"/>
      <c r="E174" s="5"/>
    </row>
    <row r="175">
      <c r="A175" s="64"/>
      <c r="E175" s="5"/>
    </row>
    <row r="176">
      <c r="A176" s="64"/>
      <c r="E176" s="5"/>
    </row>
    <row r="177">
      <c r="A177" s="64"/>
      <c r="E177" s="5"/>
    </row>
    <row r="178">
      <c r="A178" s="64"/>
      <c r="E178" s="5"/>
    </row>
    <row r="179">
      <c r="A179" s="64"/>
      <c r="E179" s="5"/>
    </row>
    <row r="180">
      <c r="A180" s="64"/>
      <c r="E180" s="5"/>
    </row>
    <row r="181">
      <c r="A181" s="64"/>
      <c r="E181" s="5"/>
    </row>
    <row r="182">
      <c r="A182" s="64"/>
      <c r="E182" s="5"/>
    </row>
    <row r="183">
      <c r="A183" s="64"/>
      <c r="E183" s="5"/>
    </row>
    <row r="184">
      <c r="A184" s="64"/>
      <c r="E184" s="5"/>
    </row>
    <row r="185">
      <c r="A185" s="64"/>
      <c r="E185" s="5"/>
    </row>
    <row r="186">
      <c r="A186" s="64"/>
      <c r="E186" s="5"/>
    </row>
    <row r="187">
      <c r="A187" s="64"/>
      <c r="E187" s="5"/>
    </row>
    <row r="188">
      <c r="A188" s="64"/>
      <c r="E188" s="5"/>
    </row>
    <row r="189">
      <c r="A189" s="64"/>
      <c r="E189" s="5"/>
    </row>
    <row r="190">
      <c r="A190" s="64"/>
      <c r="E190" s="5"/>
    </row>
    <row r="191">
      <c r="A191" s="64"/>
      <c r="E191" s="5"/>
    </row>
    <row r="192">
      <c r="A192" s="64"/>
      <c r="E192" s="5"/>
    </row>
    <row r="193">
      <c r="A193" s="64"/>
      <c r="E193" s="5"/>
    </row>
    <row r="194">
      <c r="A194" s="64"/>
      <c r="E194" s="5"/>
    </row>
    <row r="195">
      <c r="A195" s="64"/>
      <c r="E195" s="5"/>
    </row>
    <row r="196">
      <c r="A196" s="64"/>
      <c r="E196" s="5"/>
    </row>
    <row r="197">
      <c r="A197" s="64"/>
      <c r="E197" s="5"/>
    </row>
    <row r="198">
      <c r="A198" s="64"/>
      <c r="E198" s="5"/>
    </row>
    <row r="199">
      <c r="A199" s="64"/>
      <c r="E199" s="5"/>
    </row>
    <row r="200">
      <c r="A200" s="64"/>
      <c r="E200" s="5"/>
    </row>
    <row r="201">
      <c r="A201" s="64"/>
      <c r="E201" s="5"/>
    </row>
    <row r="202">
      <c r="A202" s="64"/>
      <c r="E202" s="5"/>
    </row>
    <row r="203">
      <c r="A203" s="64"/>
      <c r="E203" s="5"/>
    </row>
    <row r="204">
      <c r="A204" s="64"/>
      <c r="E204" s="5"/>
    </row>
    <row r="205">
      <c r="A205" s="64"/>
      <c r="E205" s="5"/>
    </row>
    <row r="206">
      <c r="A206" s="64"/>
      <c r="E206" s="5"/>
    </row>
    <row r="207">
      <c r="A207" s="64"/>
      <c r="E207" s="5"/>
    </row>
    <row r="208">
      <c r="A208" s="64"/>
      <c r="E208" s="5"/>
    </row>
    <row r="209">
      <c r="A209" s="64"/>
      <c r="E209" s="5"/>
    </row>
    <row r="210">
      <c r="A210" s="64"/>
      <c r="E210" s="5"/>
    </row>
    <row r="211">
      <c r="A211" s="64"/>
      <c r="E211" s="5"/>
    </row>
    <row r="212">
      <c r="A212" s="64"/>
      <c r="E212" s="5"/>
    </row>
    <row r="213">
      <c r="A213" s="64"/>
      <c r="E213" s="5"/>
    </row>
    <row r="214">
      <c r="A214" s="64"/>
      <c r="E214" s="5"/>
    </row>
    <row r="215">
      <c r="A215" s="64"/>
      <c r="E215" s="5"/>
    </row>
    <row r="216">
      <c r="A216" s="64"/>
      <c r="E216" s="5"/>
    </row>
    <row r="217">
      <c r="A217" s="64"/>
      <c r="E217" s="5"/>
    </row>
    <row r="218">
      <c r="A218" s="64"/>
      <c r="E218" s="5"/>
    </row>
    <row r="219">
      <c r="A219" s="64"/>
      <c r="E219" s="5"/>
    </row>
    <row r="220">
      <c r="A220" s="64"/>
      <c r="E220" s="5"/>
    </row>
    <row r="221">
      <c r="A221" s="64"/>
      <c r="E221" s="5"/>
    </row>
    <row r="222">
      <c r="A222" s="64"/>
      <c r="E222" s="5"/>
    </row>
    <row r="223">
      <c r="A223" s="64"/>
      <c r="E223" s="5"/>
    </row>
    <row r="224">
      <c r="A224" s="64"/>
      <c r="E224" s="5"/>
    </row>
    <row r="225">
      <c r="A225" s="64"/>
      <c r="E225" s="5"/>
    </row>
    <row r="226">
      <c r="A226" s="64"/>
      <c r="E226" s="5"/>
    </row>
    <row r="227">
      <c r="A227" s="64"/>
      <c r="E227" s="5"/>
    </row>
    <row r="228">
      <c r="A228" s="64"/>
      <c r="E228" s="5"/>
    </row>
    <row r="229">
      <c r="A229" s="64"/>
      <c r="E229" s="5"/>
    </row>
    <row r="230">
      <c r="A230" s="64"/>
      <c r="E230" s="5"/>
    </row>
    <row r="231">
      <c r="A231" s="64"/>
      <c r="E231" s="5"/>
    </row>
    <row r="232">
      <c r="A232" s="64"/>
      <c r="E232" s="5"/>
    </row>
    <row r="233">
      <c r="A233" s="64"/>
      <c r="E233" s="5"/>
    </row>
    <row r="234">
      <c r="A234" s="64"/>
      <c r="E234" s="5"/>
    </row>
    <row r="235">
      <c r="A235" s="64"/>
      <c r="E235" s="5"/>
    </row>
    <row r="236">
      <c r="A236" s="64"/>
      <c r="E236" s="5"/>
    </row>
    <row r="237">
      <c r="A237" s="64"/>
      <c r="E237" s="5"/>
    </row>
    <row r="238">
      <c r="A238" s="64"/>
      <c r="E238" s="5"/>
    </row>
    <row r="239">
      <c r="A239" s="64"/>
      <c r="E239" s="5"/>
    </row>
    <row r="240">
      <c r="A240" s="64"/>
      <c r="E240" s="5"/>
    </row>
    <row r="241">
      <c r="A241" s="64"/>
      <c r="E241" s="5"/>
    </row>
    <row r="242">
      <c r="A242" s="64"/>
      <c r="E242" s="5"/>
    </row>
    <row r="243">
      <c r="A243" s="64"/>
      <c r="E243" s="5"/>
    </row>
    <row r="244">
      <c r="A244" s="64"/>
      <c r="E244" s="5"/>
    </row>
    <row r="245">
      <c r="A245" s="64"/>
      <c r="E245" s="5"/>
    </row>
    <row r="246">
      <c r="A246" s="64"/>
      <c r="E246" s="5"/>
    </row>
    <row r="247">
      <c r="A247" s="64"/>
      <c r="E247" s="5"/>
    </row>
    <row r="248">
      <c r="A248" s="64"/>
      <c r="E248" s="5"/>
    </row>
    <row r="249">
      <c r="A249" s="64"/>
      <c r="E249" s="5"/>
    </row>
    <row r="250">
      <c r="A250" s="64"/>
      <c r="E250" s="5"/>
    </row>
    <row r="251">
      <c r="A251" s="64"/>
      <c r="E251" s="5"/>
    </row>
    <row r="252">
      <c r="A252" s="64"/>
      <c r="E252" s="5"/>
    </row>
    <row r="253">
      <c r="A253" s="64"/>
      <c r="E253" s="5"/>
    </row>
    <row r="254">
      <c r="A254" s="64"/>
      <c r="E254" s="5"/>
    </row>
    <row r="255">
      <c r="A255" s="64"/>
      <c r="E255" s="5"/>
    </row>
    <row r="256">
      <c r="A256" s="64"/>
      <c r="E256" s="5"/>
    </row>
    <row r="257">
      <c r="A257" s="64"/>
      <c r="E257" s="5"/>
    </row>
    <row r="258">
      <c r="A258" s="64"/>
      <c r="E258" s="5"/>
    </row>
    <row r="259">
      <c r="A259" s="64"/>
      <c r="E259" s="5"/>
    </row>
    <row r="260">
      <c r="A260" s="64"/>
      <c r="E260" s="5"/>
    </row>
    <row r="261">
      <c r="A261" s="64"/>
      <c r="E261" s="5"/>
    </row>
    <row r="262">
      <c r="A262" s="64"/>
      <c r="E262" s="5"/>
    </row>
    <row r="263">
      <c r="A263" s="64"/>
      <c r="E263" s="5"/>
    </row>
    <row r="264">
      <c r="A264" s="64"/>
      <c r="E264" s="5"/>
    </row>
    <row r="265">
      <c r="A265" s="64"/>
      <c r="E265" s="5"/>
    </row>
    <row r="266">
      <c r="A266" s="64"/>
      <c r="E266" s="5"/>
    </row>
    <row r="267">
      <c r="A267" s="64"/>
      <c r="E267" s="5"/>
    </row>
    <row r="268">
      <c r="A268" s="64"/>
      <c r="E268" s="5"/>
    </row>
    <row r="269">
      <c r="A269" s="64"/>
      <c r="E269" s="5"/>
    </row>
    <row r="270">
      <c r="A270" s="64"/>
      <c r="E270" s="5"/>
    </row>
    <row r="271">
      <c r="A271" s="64"/>
      <c r="E271" s="5"/>
    </row>
    <row r="272">
      <c r="A272" s="64"/>
      <c r="E272" s="5"/>
    </row>
    <row r="273">
      <c r="A273" s="64"/>
      <c r="E273" s="5"/>
    </row>
    <row r="274">
      <c r="A274" s="64"/>
      <c r="E274" s="5"/>
    </row>
    <row r="275">
      <c r="A275" s="64"/>
      <c r="E275" s="5"/>
    </row>
    <row r="276">
      <c r="A276" s="64"/>
      <c r="E276" s="5"/>
    </row>
    <row r="277">
      <c r="A277" s="64"/>
      <c r="E277" s="5"/>
    </row>
    <row r="278">
      <c r="A278" s="64"/>
      <c r="E278" s="5"/>
    </row>
    <row r="279">
      <c r="A279" s="64"/>
      <c r="E279" s="5"/>
    </row>
    <row r="280">
      <c r="A280" s="64"/>
      <c r="E280" s="5"/>
    </row>
    <row r="281">
      <c r="A281" s="64"/>
      <c r="E281" s="5"/>
    </row>
    <row r="282">
      <c r="A282" s="64"/>
      <c r="E282" s="5"/>
    </row>
    <row r="283">
      <c r="A283" s="64"/>
      <c r="E283" s="5"/>
    </row>
    <row r="284">
      <c r="A284" s="64"/>
      <c r="E284" s="5"/>
    </row>
    <row r="285">
      <c r="A285" s="64"/>
      <c r="E285" s="5"/>
    </row>
    <row r="286">
      <c r="A286" s="64"/>
      <c r="E286" s="5"/>
    </row>
    <row r="287">
      <c r="A287" s="64"/>
      <c r="E287" s="5"/>
    </row>
    <row r="288">
      <c r="A288" s="64"/>
      <c r="E288" s="5"/>
    </row>
    <row r="289">
      <c r="A289" s="64"/>
      <c r="E289" s="5"/>
    </row>
    <row r="290">
      <c r="A290" s="64"/>
      <c r="E290" s="5"/>
    </row>
    <row r="291">
      <c r="A291" s="64"/>
      <c r="E291" s="5"/>
    </row>
    <row r="292">
      <c r="A292" s="64"/>
      <c r="E292" s="5"/>
    </row>
    <row r="293">
      <c r="A293" s="64"/>
      <c r="E293" s="5"/>
    </row>
    <row r="294">
      <c r="A294" s="64"/>
      <c r="E294" s="5"/>
    </row>
    <row r="295">
      <c r="A295" s="64"/>
      <c r="E295" s="5"/>
    </row>
    <row r="296">
      <c r="A296" s="64"/>
      <c r="E296" s="5"/>
    </row>
    <row r="297">
      <c r="A297" s="64"/>
      <c r="E297" s="5"/>
    </row>
    <row r="298">
      <c r="A298" s="64"/>
      <c r="E298" s="5"/>
    </row>
    <row r="299">
      <c r="A299" s="64"/>
      <c r="E299" s="5"/>
    </row>
    <row r="300">
      <c r="A300" s="64"/>
      <c r="E300" s="5"/>
    </row>
    <row r="301">
      <c r="A301" s="64"/>
      <c r="E301" s="5"/>
    </row>
    <row r="302">
      <c r="A302" s="64"/>
      <c r="E302" s="5"/>
    </row>
    <row r="303">
      <c r="A303" s="64"/>
      <c r="E303" s="5"/>
    </row>
    <row r="304">
      <c r="A304" s="64"/>
      <c r="E304" s="5"/>
    </row>
    <row r="305">
      <c r="A305" s="64"/>
      <c r="E305" s="5"/>
    </row>
    <row r="306">
      <c r="A306" s="64"/>
      <c r="E306" s="5"/>
    </row>
    <row r="307">
      <c r="A307" s="64"/>
      <c r="E307" s="5"/>
    </row>
    <row r="308">
      <c r="A308" s="64"/>
      <c r="E308" s="5"/>
    </row>
    <row r="309">
      <c r="A309" s="64"/>
      <c r="E309" s="5"/>
    </row>
    <row r="310">
      <c r="A310" s="64"/>
      <c r="E310" s="5"/>
    </row>
    <row r="311">
      <c r="A311" s="64"/>
      <c r="E311" s="5"/>
    </row>
    <row r="312">
      <c r="A312" s="64"/>
      <c r="E312" s="5"/>
    </row>
    <row r="313">
      <c r="A313" s="64"/>
      <c r="E313" s="5"/>
    </row>
    <row r="314">
      <c r="A314" s="64"/>
      <c r="E314" s="5"/>
    </row>
    <row r="315">
      <c r="A315" s="64"/>
      <c r="E315" s="5"/>
    </row>
    <row r="316">
      <c r="A316" s="64"/>
      <c r="E316" s="5"/>
    </row>
    <row r="317">
      <c r="A317" s="64"/>
      <c r="E317" s="5"/>
    </row>
    <row r="318">
      <c r="A318" s="64"/>
      <c r="E318" s="5"/>
    </row>
    <row r="319">
      <c r="A319" s="64"/>
      <c r="E319" s="5"/>
    </row>
    <row r="320">
      <c r="A320" s="64"/>
      <c r="E320" s="5"/>
    </row>
    <row r="321">
      <c r="A321" s="64"/>
      <c r="E321" s="5"/>
    </row>
    <row r="322">
      <c r="A322" s="64"/>
      <c r="E322" s="5"/>
    </row>
    <row r="323">
      <c r="A323" s="64"/>
      <c r="E323" s="5"/>
    </row>
    <row r="324">
      <c r="A324" s="64"/>
      <c r="E324" s="5"/>
    </row>
    <row r="325">
      <c r="A325" s="64"/>
      <c r="E325" s="5"/>
    </row>
    <row r="326">
      <c r="A326" s="64"/>
      <c r="E326" s="5"/>
    </row>
    <row r="327">
      <c r="A327" s="64"/>
      <c r="E327" s="5"/>
    </row>
    <row r="328">
      <c r="A328" s="64"/>
      <c r="E328" s="5"/>
    </row>
    <row r="329">
      <c r="A329" s="64"/>
      <c r="E329" s="5"/>
    </row>
    <row r="330">
      <c r="A330" s="64"/>
      <c r="E330" s="5"/>
    </row>
    <row r="331">
      <c r="A331" s="64"/>
      <c r="E331" s="5"/>
    </row>
    <row r="332">
      <c r="A332" s="64"/>
      <c r="E332" s="5"/>
    </row>
    <row r="333">
      <c r="A333" s="64"/>
      <c r="E333" s="5"/>
    </row>
    <row r="334">
      <c r="A334" s="64"/>
      <c r="E334" s="5"/>
    </row>
    <row r="335">
      <c r="A335" s="64"/>
      <c r="E335" s="5"/>
    </row>
    <row r="336">
      <c r="A336" s="64"/>
      <c r="E336" s="5"/>
    </row>
    <row r="337">
      <c r="A337" s="64"/>
      <c r="E337" s="5"/>
    </row>
    <row r="338">
      <c r="A338" s="64"/>
      <c r="E338" s="5"/>
    </row>
    <row r="339">
      <c r="A339" s="64"/>
      <c r="E339" s="5"/>
    </row>
    <row r="340">
      <c r="A340" s="64"/>
      <c r="E340" s="5"/>
    </row>
    <row r="341">
      <c r="A341" s="64"/>
      <c r="E341" s="5"/>
    </row>
    <row r="342">
      <c r="A342" s="64"/>
      <c r="E342" s="5"/>
    </row>
    <row r="343">
      <c r="A343" s="64"/>
      <c r="E343" s="5"/>
    </row>
    <row r="344">
      <c r="A344" s="64"/>
      <c r="E344" s="5"/>
    </row>
    <row r="345">
      <c r="A345" s="64"/>
      <c r="E345" s="5"/>
    </row>
    <row r="346">
      <c r="A346" s="64"/>
      <c r="E346" s="5"/>
    </row>
    <row r="347">
      <c r="A347" s="64"/>
      <c r="E347" s="5"/>
    </row>
    <row r="348">
      <c r="A348" s="64"/>
      <c r="E348" s="5"/>
    </row>
    <row r="349">
      <c r="A349" s="64"/>
      <c r="E349" s="5"/>
    </row>
    <row r="350">
      <c r="A350" s="64"/>
      <c r="E350" s="5"/>
    </row>
    <row r="351">
      <c r="A351" s="64"/>
      <c r="E351" s="5"/>
    </row>
    <row r="352">
      <c r="A352" s="64"/>
      <c r="E352" s="5"/>
    </row>
    <row r="353">
      <c r="A353" s="64"/>
      <c r="E353" s="5"/>
    </row>
    <row r="354">
      <c r="A354" s="64"/>
      <c r="E354" s="5"/>
    </row>
    <row r="355">
      <c r="A355" s="64"/>
      <c r="E355" s="5"/>
    </row>
    <row r="356">
      <c r="A356" s="64"/>
      <c r="E356" s="5"/>
    </row>
    <row r="357">
      <c r="A357" s="64"/>
      <c r="E357" s="5"/>
    </row>
    <row r="358">
      <c r="A358" s="64"/>
      <c r="E358" s="5"/>
    </row>
    <row r="359">
      <c r="A359" s="64"/>
      <c r="E359" s="5"/>
    </row>
    <row r="360">
      <c r="A360" s="64"/>
      <c r="E360" s="5"/>
    </row>
    <row r="361">
      <c r="A361" s="64"/>
      <c r="E361" s="5"/>
    </row>
    <row r="362">
      <c r="A362" s="64"/>
      <c r="E362" s="5"/>
    </row>
    <row r="363">
      <c r="A363" s="64"/>
      <c r="E363" s="5"/>
    </row>
    <row r="364">
      <c r="A364" s="64"/>
      <c r="E364" s="5"/>
    </row>
    <row r="365">
      <c r="A365" s="64"/>
      <c r="E365" s="5"/>
    </row>
    <row r="366">
      <c r="A366" s="64"/>
      <c r="E366" s="5"/>
    </row>
    <row r="367">
      <c r="A367" s="64"/>
      <c r="E367" s="5"/>
    </row>
    <row r="368">
      <c r="A368" s="64"/>
      <c r="E368" s="5"/>
    </row>
    <row r="369">
      <c r="A369" s="64"/>
      <c r="E369" s="5"/>
    </row>
    <row r="370">
      <c r="A370" s="64"/>
      <c r="E370" s="5"/>
    </row>
    <row r="371">
      <c r="A371" s="64"/>
      <c r="E371" s="5"/>
    </row>
    <row r="372">
      <c r="A372" s="64"/>
      <c r="E372" s="5"/>
    </row>
    <row r="373">
      <c r="A373" s="64"/>
      <c r="E373" s="5"/>
    </row>
    <row r="374">
      <c r="A374" s="64"/>
      <c r="E374" s="5"/>
    </row>
    <row r="375">
      <c r="A375" s="64"/>
      <c r="E375" s="5"/>
    </row>
    <row r="376">
      <c r="A376" s="64"/>
      <c r="E376" s="5"/>
    </row>
    <row r="377">
      <c r="A377" s="64"/>
      <c r="E377" s="5"/>
    </row>
    <row r="378">
      <c r="A378" s="64"/>
      <c r="E378" s="5"/>
    </row>
    <row r="379">
      <c r="A379" s="64"/>
      <c r="E379" s="5"/>
    </row>
    <row r="380">
      <c r="A380" s="64"/>
      <c r="E380" s="5"/>
    </row>
    <row r="381">
      <c r="A381" s="64"/>
      <c r="E381" s="5"/>
    </row>
    <row r="382">
      <c r="A382" s="64"/>
      <c r="E382" s="5"/>
    </row>
    <row r="383">
      <c r="A383" s="64"/>
      <c r="E383" s="5"/>
    </row>
    <row r="384">
      <c r="A384" s="64"/>
      <c r="E384" s="5"/>
    </row>
    <row r="385">
      <c r="A385" s="64"/>
      <c r="E385" s="5"/>
    </row>
    <row r="386">
      <c r="A386" s="64"/>
      <c r="E386" s="5"/>
    </row>
    <row r="387">
      <c r="A387" s="64"/>
      <c r="E387" s="5"/>
    </row>
    <row r="388">
      <c r="A388" s="64"/>
      <c r="E388" s="5"/>
    </row>
    <row r="389">
      <c r="A389" s="64"/>
      <c r="E389" s="5"/>
    </row>
    <row r="390">
      <c r="A390" s="64"/>
      <c r="E390" s="5"/>
    </row>
    <row r="391">
      <c r="A391" s="64"/>
      <c r="E391" s="5"/>
    </row>
    <row r="392">
      <c r="A392" s="64"/>
      <c r="E392" s="5"/>
    </row>
    <row r="393">
      <c r="A393" s="64"/>
      <c r="E393" s="5"/>
    </row>
    <row r="394">
      <c r="A394" s="64"/>
      <c r="E394" s="5"/>
    </row>
    <row r="395">
      <c r="A395" s="64"/>
      <c r="E395" s="5"/>
    </row>
    <row r="396">
      <c r="A396" s="64"/>
      <c r="E396" s="5"/>
    </row>
    <row r="397">
      <c r="A397" s="64"/>
      <c r="E397" s="5"/>
    </row>
    <row r="398">
      <c r="A398" s="64"/>
      <c r="E398" s="5"/>
    </row>
    <row r="399">
      <c r="A399" s="64"/>
      <c r="E399" s="5"/>
    </row>
    <row r="400">
      <c r="A400" s="64"/>
      <c r="E400" s="5"/>
    </row>
    <row r="401">
      <c r="A401" s="64"/>
      <c r="E401" s="5"/>
    </row>
    <row r="402">
      <c r="A402" s="64"/>
      <c r="E402" s="5"/>
    </row>
    <row r="403">
      <c r="A403" s="64"/>
      <c r="E403" s="5"/>
    </row>
    <row r="404">
      <c r="A404" s="64"/>
      <c r="E404" s="5"/>
    </row>
    <row r="405">
      <c r="A405" s="64"/>
      <c r="E405" s="5"/>
    </row>
    <row r="406">
      <c r="A406" s="64"/>
      <c r="E406" s="5"/>
    </row>
    <row r="407">
      <c r="A407" s="64"/>
      <c r="E407" s="5"/>
    </row>
    <row r="408">
      <c r="A408" s="64"/>
      <c r="E408" s="5"/>
    </row>
    <row r="409">
      <c r="A409" s="64"/>
      <c r="E409" s="5"/>
    </row>
    <row r="410">
      <c r="A410" s="64"/>
      <c r="E410" s="5"/>
    </row>
    <row r="411">
      <c r="A411" s="64"/>
      <c r="E411" s="5"/>
    </row>
    <row r="412">
      <c r="A412" s="64"/>
      <c r="E412" s="5"/>
    </row>
    <row r="413">
      <c r="A413" s="64"/>
      <c r="E413" s="5"/>
    </row>
    <row r="414">
      <c r="A414" s="64"/>
      <c r="E414" s="5"/>
    </row>
    <row r="415">
      <c r="A415" s="64"/>
      <c r="E415" s="5"/>
    </row>
    <row r="416">
      <c r="A416" s="64"/>
      <c r="E416" s="5"/>
    </row>
    <row r="417">
      <c r="A417" s="64"/>
      <c r="E417" s="5"/>
    </row>
    <row r="418">
      <c r="A418" s="64"/>
      <c r="E418" s="5"/>
    </row>
    <row r="419">
      <c r="A419" s="64"/>
      <c r="E419" s="5"/>
    </row>
    <row r="420">
      <c r="A420" s="64"/>
      <c r="E420" s="5"/>
    </row>
    <row r="421">
      <c r="A421" s="64"/>
      <c r="E421" s="5"/>
    </row>
    <row r="422">
      <c r="A422" s="64"/>
      <c r="E422" s="5"/>
    </row>
    <row r="423">
      <c r="A423" s="64"/>
      <c r="E423" s="5"/>
    </row>
    <row r="424">
      <c r="A424" s="64"/>
      <c r="E424" s="5"/>
    </row>
    <row r="425">
      <c r="A425" s="64"/>
      <c r="E425" s="5"/>
    </row>
    <row r="426">
      <c r="A426" s="64"/>
      <c r="E426" s="5"/>
    </row>
    <row r="427">
      <c r="A427" s="64"/>
      <c r="E427" s="5"/>
    </row>
    <row r="428">
      <c r="A428" s="64"/>
      <c r="E428" s="5"/>
    </row>
    <row r="429">
      <c r="A429" s="64"/>
      <c r="E429" s="5"/>
    </row>
    <row r="430">
      <c r="A430" s="64"/>
      <c r="E430" s="5"/>
    </row>
    <row r="431">
      <c r="A431" s="64"/>
      <c r="E431" s="5"/>
    </row>
    <row r="432">
      <c r="A432" s="64"/>
      <c r="E432" s="5"/>
    </row>
    <row r="433">
      <c r="A433" s="64"/>
      <c r="E433" s="5"/>
    </row>
    <row r="434">
      <c r="A434" s="64"/>
      <c r="E434" s="5"/>
    </row>
    <row r="435">
      <c r="A435" s="64"/>
      <c r="E435" s="5"/>
    </row>
    <row r="436">
      <c r="A436" s="64"/>
      <c r="E436" s="5"/>
    </row>
    <row r="437">
      <c r="A437" s="64"/>
      <c r="E437" s="5"/>
    </row>
    <row r="438">
      <c r="A438" s="64"/>
      <c r="E438" s="5"/>
    </row>
    <row r="439">
      <c r="A439" s="64"/>
      <c r="E439" s="5"/>
    </row>
    <row r="440">
      <c r="A440" s="64"/>
      <c r="E440" s="5"/>
    </row>
    <row r="441">
      <c r="A441" s="64"/>
      <c r="E441" s="5"/>
    </row>
    <row r="442">
      <c r="A442" s="64"/>
      <c r="E442" s="5"/>
    </row>
    <row r="443">
      <c r="A443" s="64"/>
      <c r="E443" s="5"/>
    </row>
    <row r="444">
      <c r="A444" s="64"/>
      <c r="E444" s="5"/>
    </row>
    <row r="445">
      <c r="A445" s="64"/>
      <c r="E445" s="5"/>
    </row>
    <row r="446">
      <c r="A446" s="64"/>
      <c r="E446" s="5"/>
    </row>
    <row r="447">
      <c r="A447" s="64"/>
      <c r="E447" s="5"/>
    </row>
    <row r="448">
      <c r="A448" s="64"/>
      <c r="E448" s="5"/>
    </row>
    <row r="449">
      <c r="A449" s="64"/>
      <c r="E449" s="5"/>
    </row>
    <row r="450">
      <c r="A450" s="64"/>
      <c r="E450" s="5"/>
    </row>
    <row r="451">
      <c r="A451" s="64"/>
      <c r="E451" s="5"/>
    </row>
    <row r="452">
      <c r="A452" s="64"/>
      <c r="E452" s="5"/>
    </row>
    <row r="453">
      <c r="A453" s="64"/>
      <c r="E453" s="5"/>
    </row>
    <row r="454">
      <c r="A454" s="64"/>
      <c r="E454" s="5"/>
    </row>
    <row r="455">
      <c r="A455" s="64"/>
      <c r="E455" s="5"/>
    </row>
    <row r="456">
      <c r="A456" s="64"/>
      <c r="E456" s="5"/>
    </row>
    <row r="457">
      <c r="A457" s="64"/>
      <c r="E457" s="5"/>
    </row>
    <row r="458">
      <c r="A458" s="64"/>
      <c r="E458" s="5"/>
    </row>
    <row r="459">
      <c r="A459" s="64"/>
      <c r="E459" s="5"/>
    </row>
    <row r="460">
      <c r="A460" s="64"/>
      <c r="E460" s="5"/>
    </row>
    <row r="461">
      <c r="A461" s="64"/>
      <c r="E461" s="5"/>
    </row>
    <row r="462">
      <c r="A462" s="64"/>
      <c r="E462" s="5"/>
    </row>
    <row r="463">
      <c r="A463" s="64"/>
      <c r="E463" s="5"/>
    </row>
    <row r="464">
      <c r="A464" s="64"/>
      <c r="E464" s="5"/>
    </row>
    <row r="465">
      <c r="A465" s="64"/>
      <c r="E465" s="5"/>
    </row>
    <row r="466">
      <c r="A466" s="64"/>
      <c r="E466" s="5"/>
    </row>
    <row r="467">
      <c r="A467" s="64"/>
      <c r="E467" s="5"/>
    </row>
    <row r="468">
      <c r="A468" s="64"/>
      <c r="E468" s="5"/>
    </row>
    <row r="469">
      <c r="A469" s="64"/>
      <c r="E469" s="5"/>
    </row>
    <row r="470">
      <c r="A470" s="64"/>
      <c r="E470" s="5"/>
    </row>
    <row r="471">
      <c r="A471" s="64"/>
      <c r="E471" s="5"/>
    </row>
    <row r="472">
      <c r="A472" s="64"/>
      <c r="E472" s="5"/>
    </row>
    <row r="473">
      <c r="A473" s="64"/>
      <c r="E473" s="5"/>
    </row>
    <row r="474">
      <c r="A474" s="64"/>
      <c r="E474" s="5"/>
    </row>
    <row r="475">
      <c r="A475" s="64"/>
      <c r="E475" s="5"/>
    </row>
    <row r="476">
      <c r="A476" s="64"/>
      <c r="E476" s="5"/>
    </row>
    <row r="477">
      <c r="A477" s="64"/>
      <c r="E477" s="5"/>
    </row>
    <row r="478">
      <c r="A478" s="64"/>
      <c r="E478" s="5"/>
    </row>
    <row r="479">
      <c r="A479" s="64"/>
      <c r="E479" s="5"/>
    </row>
    <row r="480">
      <c r="A480" s="64"/>
      <c r="E480" s="5"/>
    </row>
    <row r="481">
      <c r="A481" s="64"/>
      <c r="E481" s="5"/>
    </row>
    <row r="482">
      <c r="A482" s="64"/>
      <c r="E482" s="5"/>
    </row>
    <row r="483">
      <c r="A483" s="64"/>
      <c r="E483" s="5"/>
    </row>
    <row r="484">
      <c r="A484" s="64"/>
      <c r="E484" s="5"/>
    </row>
    <row r="485">
      <c r="A485" s="64"/>
      <c r="E485" s="5"/>
    </row>
    <row r="486">
      <c r="A486" s="64"/>
      <c r="E486" s="5"/>
    </row>
    <row r="487">
      <c r="A487" s="64"/>
      <c r="E487" s="5"/>
    </row>
    <row r="488">
      <c r="A488" s="64"/>
      <c r="E488" s="5"/>
    </row>
    <row r="489">
      <c r="A489" s="64"/>
      <c r="E489" s="5"/>
    </row>
    <row r="490">
      <c r="A490" s="64"/>
      <c r="E490" s="5"/>
    </row>
    <row r="491">
      <c r="A491" s="64"/>
      <c r="E491" s="5"/>
    </row>
    <row r="492">
      <c r="A492" s="64"/>
      <c r="E492" s="5"/>
    </row>
    <row r="493">
      <c r="A493" s="64"/>
      <c r="E493" s="5"/>
    </row>
    <row r="494">
      <c r="A494" s="64"/>
      <c r="E494" s="5"/>
    </row>
    <row r="495">
      <c r="A495" s="64"/>
      <c r="E495" s="5"/>
    </row>
    <row r="496">
      <c r="A496" s="64"/>
      <c r="E496" s="5"/>
    </row>
    <row r="497">
      <c r="A497" s="64"/>
      <c r="E497" s="5"/>
    </row>
    <row r="498">
      <c r="A498" s="64"/>
      <c r="E498" s="5"/>
    </row>
    <row r="499">
      <c r="A499" s="64"/>
      <c r="E499" s="5"/>
    </row>
    <row r="500">
      <c r="A500" s="64"/>
      <c r="E500" s="5"/>
    </row>
    <row r="501">
      <c r="A501" s="64"/>
      <c r="E501" s="5"/>
    </row>
    <row r="502">
      <c r="A502" s="64"/>
      <c r="E502" s="5"/>
    </row>
    <row r="503">
      <c r="A503" s="64"/>
      <c r="E503" s="5"/>
    </row>
    <row r="504">
      <c r="A504" s="64"/>
      <c r="E504" s="5"/>
    </row>
    <row r="505">
      <c r="A505" s="64"/>
      <c r="E505" s="5"/>
    </row>
    <row r="506">
      <c r="A506" s="64"/>
      <c r="E506" s="5"/>
    </row>
    <row r="507">
      <c r="A507" s="64"/>
      <c r="E507" s="5"/>
    </row>
    <row r="508">
      <c r="A508" s="64"/>
      <c r="E508" s="5"/>
    </row>
    <row r="509">
      <c r="A509" s="64"/>
      <c r="E509" s="5"/>
    </row>
    <row r="510">
      <c r="A510" s="64"/>
      <c r="E510" s="5"/>
    </row>
    <row r="511">
      <c r="A511" s="64"/>
      <c r="E511" s="5"/>
    </row>
    <row r="512">
      <c r="A512" s="64"/>
      <c r="E512" s="5"/>
    </row>
    <row r="513">
      <c r="A513" s="64"/>
      <c r="E513" s="5"/>
    </row>
    <row r="514">
      <c r="A514" s="64"/>
      <c r="E514" s="5"/>
    </row>
    <row r="515">
      <c r="A515" s="64"/>
      <c r="E515" s="5"/>
    </row>
    <row r="516">
      <c r="A516" s="64"/>
      <c r="E516" s="5"/>
    </row>
    <row r="517">
      <c r="A517" s="64"/>
      <c r="E517" s="5"/>
    </row>
    <row r="518">
      <c r="A518" s="64"/>
      <c r="E518" s="5"/>
    </row>
    <row r="519">
      <c r="A519" s="64"/>
      <c r="E519" s="5"/>
    </row>
    <row r="520">
      <c r="A520" s="64"/>
      <c r="E520" s="5"/>
    </row>
    <row r="521">
      <c r="A521" s="64"/>
      <c r="E521" s="5"/>
    </row>
    <row r="522">
      <c r="A522" s="64"/>
      <c r="E522" s="5"/>
    </row>
    <row r="523">
      <c r="A523" s="64"/>
      <c r="E523" s="5"/>
    </row>
    <row r="524">
      <c r="A524" s="64"/>
      <c r="E524" s="5"/>
    </row>
    <row r="525">
      <c r="A525" s="64"/>
      <c r="E525" s="5"/>
    </row>
    <row r="526">
      <c r="A526" s="64"/>
      <c r="E526" s="5"/>
    </row>
    <row r="527">
      <c r="A527" s="64"/>
      <c r="E527" s="5"/>
    </row>
    <row r="528">
      <c r="A528" s="64"/>
      <c r="E528" s="5"/>
    </row>
    <row r="529">
      <c r="A529" s="64"/>
      <c r="E529" s="5"/>
    </row>
    <row r="530">
      <c r="A530" s="64"/>
      <c r="E530" s="5"/>
    </row>
    <row r="531">
      <c r="A531" s="64"/>
      <c r="E531" s="5"/>
    </row>
    <row r="532">
      <c r="A532" s="64"/>
      <c r="E532" s="5"/>
    </row>
    <row r="533">
      <c r="A533" s="64"/>
      <c r="E533" s="5"/>
    </row>
    <row r="534">
      <c r="A534" s="64"/>
      <c r="E534" s="5"/>
    </row>
    <row r="535">
      <c r="A535" s="64"/>
      <c r="E535" s="5"/>
    </row>
    <row r="536">
      <c r="A536" s="64"/>
      <c r="E536" s="5"/>
    </row>
    <row r="537">
      <c r="A537" s="64"/>
      <c r="E537" s="5"/>
    </row>
    <row r="538">
      <c r="A538" s="64"/>
      <c r="E538" s="5"/>
    </row>
    <row r="539">
      <c r="A539" s="64"/>
      <c r="E539" s="5"/>
    </row>
    <row r="540">
      <c r="A540" s="64"/>
      <c r="E540" s="5"/>
    </row>
    <row r="541">
      <c r="A541" s="64"/>
      <c r="E541" s="5"/>
    </row>
    <row r="542">
      <c r="A542" s="64"/>
      <c r="E542" s="5"/>
    </row>
    <row r="543">
      <c r="A543" s="64"/>
      <c r="E543" s="5"/>
    </row>
    <row r="544">
      <c r="A544" s="64"/>
      <c r="E544" s="5"/>
    </row>
    <row r="545">
      <c r="A545" s="64"/>
      <c r="E545" s="5"/>
    </row>
    <row r="546">
      <c r="A546" s="64"/>
      <c r="E546" s="5"/>
    </row>
    <row r="547">
      <c r="A547" s="64"/>
      <c r="E547" s="5"/>
    </row>
    <row r="548">
      <c r="A548" s="64"/>
      <c r="E548" s="5"/>
    </row>
    <row r="549">
      <c r="A549" s="64"/>
      <c r="E549" s="5"/>
    </row>
    <row r="550">
      <c r="A550" s="64"/>
      <c r="E550" s="5"/>
    </row>
    <row r="551">
      <c r="A551" s="64"/>
      <c r="E551" s="5"/>
    </row>
    <row r="552">
      <c r="A552" s="64"/>
      <c r="E552" s="5"/>
    </row>
    <row r="553">
      <c r="A553" s="64"/>
      <c r="E553" s="5"/>
    </row>
    <row r="554">
      <c r="A554" s="64"/>
      <c r="E554" s="5"/>
    </row>
    <row r="555">
      <c r="A555" s="64"/>
      <c r="E555" s="5"/>
    </row>
    <row r="556">
      <c r="A556" s="64"/>
      <c r="E556" s="5"/>
    </row>
    <row r="557">
      <c r="A557" s="64"/>
      <c r="E557" s="5"/>
    </row>
    <row r="558">
      <c r="A558" s="64"/>
      <c r="E558" s="5"/>
    </row>
    <row r="559">
      <c r="A559" s="64"/>
      <c r="E559" s="5"/>
    </row>
    <row r="560">
      <c r="A560" s="64"/>
      <c r="E560" s="5"/>
    </row>
    <row r="561">
      <c r="A561" s="64"/>
      <c r="E561" s="5"/>
    </row>
    <row r="562">
      <c r="A562" s="64"/>
      <c r="E562" s="5"/>
    </row>
    <row r="563">
      <c r="A563" s="64"/>
      <c r="E563" s="5"/>
    </row>
    <row r="564">
      <c r="A564" s="64"/>
      <c r="E564" s="5"/>
    </row>
    <row r="565">
      <c r="A565" s="64"/>
      <c r="E565" s="5"/>
    </row>
    <row r="566">
      <c r="A566" s="64"/>
      <c r="E566" s="5"/>
    </row>
    <row r="567">
      <c r="A567" s="64"/>
      <c r="E567" s="5"/>
    </row>
    <row r="568">
      <c r="A568" s="64"/>
      <c r="E568" s="5"/>
    </row>
    <row r="569">
      <c r="A569" s="64"/>
      <c r="E569" s="5"/>
    </row>
    <row r="570">
      <c r="A570" s="64"/>
      <c r="E570" s="5"/>
    </row>
    <row r="571">
      <c r="A571" s="64"/>
      <c r="E571" s="5"/>
    </row>
    <row r="572">
      <c r="A572" s="64"/>
      <c r="E572" s="5"/>
    </row>
    <row r="573">
      <c r="A573" s="64"/>
      <c r="E573" s="5"/>
    </row>
    <row r="574">
      <c r="A574" s="64"/>
      <c r="E574" s="5"/>
    </row>
    <row r="575">
      <c r="A575" s="64"/>
      <c r="E575" s="5"/>
    </row>
    <row r="576">
      <c r="A576" s="64"/>
      <c r="E576" s="5"/>
    </row>
    <row r="577">
      <c r="A577" s="64"/>
      <c r="E577" s="5"/>
    </row>
    <row r="578">
      <c r="A578" s="64"/>
      <c r="E578" s="5"/>
    </row>
    <row r="579">
      <c r="A579" s="64"/>
      <c r="E579" s="5"/>
    </row>
    <row r="580">
      <c r="A580" s="64"/>
      <c r="E580" s="5"/>
    </row>
    <row r="581">
      <c r="A581" s="64"/>
      <c r="E581" s="5"/>
    </row>
    <row r="582">
      <c r="A582" s="64"/>
      <c r="E582" s="5"/>
    </row>
    <row r="583">
      <c r="A583" s="64"/>
      <c r="E583" s="5"/>
    </row>
    <row r="584">
      <c r="A584" s="64"/>
      <c r="E584" s="5"/>
    </row>
    <row r="585">
      <c r="A585" s="64"/>
      <c r="E585" s="5"/>
    </row>
    <row r="586">
      <c r="A586" s="64"/>
      <c r="E586" s="5"/>
    </row>
    <row r="587">
      <c r="A587" s="64"/>
      <c r="E587" s="5"/>
    </row>
    <row r="588">
      <c r="A588" s="64"/>
      <c r="E588" s="5"/>
    </row>
    <row r="589">
      <c r="A589" s="64"/>
      <c r="E589" s="5"/>
    </row>
    <row r="590">
      <c r="A590" s="64"/>
      <c r="E590" s="5"/>
    </row>
    <row r="591">
      <c r="A591" s="64"/>
      <c r="E591" s="5"/>
    </row>
    <row r="592">
      <c r="A592" s="64"/>
      <c r="E592" s="5"/>
    </row>
    <row r="593">
      <c r="A593" s="64"/>
      <c r="E593" s="5"/>
    </row>
    <row r="594">
      <c r="A594" s="64"/>
      <c r="E594" s="5"/>
    </row>
    <row r="595">
      <c r="A595" s="64"/>
      <c r="E595" s="5"/>
    </row>
    <row r="596">
      <c r="A596" s="64"/>
      <c r="E596" s="5"/>
    </row>
    <row r="597">
      <c r="A597" s="64"/>
      <c r="E597" s="5"/>
    </row>
    <row r="598">
      <c r="A598" s="64"/>
      <c r="E598" s="5"/>
    </row>
    <row r="599">
      <c r="A599" s="64"/>
      <c r="E599" s="5"/>
    </row>
    <row r="600">
      <c r="A600" s="64"/>
      <c r="E600" s="5"/>
    </row>
    <row r="601">
      <c r="A601" s="64"/>
      <c r="E601" s="5"/>
    </row>
    <row r="602">
      <c r="A602" s="64"/>
      <c r="E602" s="5"/>
    </row>
    <row r="603">
      <c r="A603" s="64"/>
      <c r="E603" s="5"/>
    </row>
    <row r="604">
      <c r="A604" s="64"/>
      <c r="E604" s="5"/>
    </row>
    <row r="605">
      <c r="A605" s="64"/>
      <c r="E605" s="5"/>
    </row>
    <row r="606">
      <c r="A606" s="64"/>
      <c r="E606" s="5"/>
    </row>
    <row r="607">
      <c r="A607" s="64"/>
      <c r="E607" s="5"/>
    </row>
    <row r="608">
      <c r="A608" s="64"/>
      <c r="E608" s="5"/>
    </row>
    <row r="609">
      <c r="A609" s="64"/>
      <c r="E609" s="5"/>
    </row>
    <row r="610">
      <c r="A610" s="64"/>
      <c r="E610" s="5"/>
    </row>
    <row r="611">
      <c r="A611" s="64"/>
      <c r="E611" s="5"/>
    </row>
    <row r="612">
      <c r="A612" s="64"/>
      <c r="E612" s="5"/>
    </row>
    <row r="613">
      <c r="A613" s="64"/>
      <c r="E613" s="5"/>
    </row>
    <row r="614">
      <c r="A614" s="64"/>
      <c r="E614" s="5"/>
    </row>
    <row r="615">
      <c r="A615" s="64"/>
      <c r="E615" s="5"/>
    </row>
    <row r="616">
      <c r="A616" s="64"/>
      <c r="E616" s="5"/>
    </row>
    <row r="617">
      <c r="A617" s="64"/>
      <c r="E617" s="5"/>
    </row>
    <row r="618">
      <c r="A618" s="64"/>
      <c r="E618" s="5"/>
    </row>
    <row r="619">
      <c r="A619" s="64"/>
      <c r="E619" s="5"/>
    </row>
    <row r="620">
      <c r="A620" s="64"/>
      <c r="E620" s="5"/>
    </row>
    <row r="621">
      <c r="A621" s="64"/>
      <c r="E621" s="5"/>
    </row>
    <row r="622">
      <c r="A622" s="64"/>
      <c r="E622" s="5"/>
    </row>
    <row r="623">
      <c r="A623" s="64"/>
      <c r="E623" s="5"/>
    </row>
    <row r="624">
      <c r="A624" s="64"/>
      <c r="E624" s="5"/>
    </row>
    <row r="625">
      <c r="A625" s="64"/>
      <c r="E625" s="5"/>
    </row>
    <row r="626">
      <c r="A626" s="64"/>
      <c r="E626" s="5"/>
    </row>
    <row r="627">
      <c r="A627" s="64"/>
      <c r="E627" s="5"/>
    </row>
    <row r="628">
      <c r="A628" s="64"/>
      <c r="E628" s="5"/>
    </row>
    <row r="629">
      <c r="A629" s="64"/>
      <c r="E629" s="5"/>
    </row>
    <row r="630">
      <c r="A630" s="64"/>
      <c r="E630" s="5"/>
    </row>
    <row r="631">
      <c r="A631" s="64"/>
      <c r="E631" s="5"/>
    </row>
    <row r="632">
      <c r="A632" s="64"/>
      <c r="E632" s="5"/>
    </row>
    <row r="633">
      <c r="A633" s="64"/>
      <c r="E633" s="5"/>
    </row>
    <row r="634">
      <c r="A634" s="64"/>
      <c r="E634" s="5"/>
    </row>
    <row r="635">
      <c r="A635" s="64"/>
      <c r="E635" s="5"/>
    </row>
    <row r="636">
      <c r="A636" s="64"/>
      <c r="E636" s="5"/>
    </row>
    <row r="637">
      <c r="A637" s="64"/>
      <c r="E637" s="5"/>
    </row>
    <row r="638">
      <c r="A638" s="64"/>
      <c r="E638" s="5"/>
    </row>
    <row r="639">
      <c r="A639" s="64"/>
      <c r="E639" s="5"/>
    </row>
    <row r="640">
      <c r="A640" s="64"/>
      <c r="E640" s="5"/>
    </row>
    <row r="641">
      <c r="A641" s="64"/>
      <c r="E641" s="5"/>
    </row>
    <row r="642">
      <c r="A642" s="64"/>
      <c r="E642" s="5"/>
    </row>
    <row r="643">
      <c r="A643" s="64"/>
      <c r="E643" s="5"/>
    </row>
    <row r="644">
      <c r="A644" s="64"/>
      <c r="E644" s="5"/>
    </row>
    <row r="645">
      <c r="A645" s="64"/>
      <c r="E645" s="5"/>
    </row>
    <row r="646">
      <c r="A646" s="64"/>
      <c r="E646" s="5"/>
    </row>
    <row r="647">
      <c r="A647" s="64"/>
      <c r="E647" s="5"/>
    </row>
    <row r="648">
      <c r="A648" s="64"/>
      <c r="E648" s="5"/>
    </row>
    <row r="649">
      <c r="A649" s="64"/>
      <c r="E649" s="5"/>
    </row>
    <row r="650">
      <c r="A650" s="64"/>
      <c r="E650" s="5"/>
    </row>
    <row r="651">
      <c r="A651" s="64"/>
      <c r="E651" s="5"/>
    </row>
    <row r="652">
      <c r="A652" s="64"/>
      <c r="E652" s="5"/>
    </row>
    <row r="653">
      <c r="A653" s="64"/>
      <c r="E653" s="5"/>
    </row>
    <row r="654">
      <c r="A654" s="64"/>
      <c r="E654" s="5"/>
    </row>
    <row r="655">
      <c r="A655" s="64"/>
      <c r="E655" s="5"/>
    </row>
    <row r="656">
      <c r="A656" s="64"/>
      <c r="E656" s="5"/>
    </row>
    <row r="657">
      <c r="A657" s="64"/>
      <c r="E657" s="5"/>
    </row>
    <row r="658">
      <c r="A658" s="64"/>
      <c r="E658" s="5"/>
    </row>
    <row r="659">
      <c r="A659" s="64"/>
      <c r="E659" s="5"/>
    </row>
    <row r="660">
      <c r="A660" s="64"/>
      <c r="E660" s="5"/>
    </row>
    <row r="661">
      <c r="A661" s="64"/>
      <c r="E661" s="5"/>
    </row>
    <row r="662">
      <c r="A662" s="64"/>
      <c r="E662" s="5"/>
    </row>
    <row r="663">
      <c r="A663" s="64"/>
      <c r="E663" s="5"/>
    </row>
    <row r="664">
      <c r="A664" s="64"/>
      <c r="E664" s="5"/>
    </row>
    <row r="665">
      <c r="A665" s="64"/>
      <c r="E665" s="5"/>
    </row>
    <row r="666">
      <c r="A666" s="64"/>
      <c r="E666" s="5"/>
    </row>
    <row r="667">
      <c r="A667" s="64"/>
      <c r="E667" s="5"/>
    </row>
    <row r="668">
      <c r="A668" s="64"/>
      <c r="E668" s="5"/>
    </row>
    <row r="669">
      <c r="A669" s="64"/>
      <c r="E669" s="5"/>
    </row>
    <row r="670">
      <c r="A670" s="64"/>
      <c r="E670" s="5"/>
    </row>
    <row r="671">
      <c r="A671" s="64"/>
      <c r="E671" s="5"/>
    </row>
    <row r="672">
      <c r="A672" s="64"/>
      <c r="E672" s="5"/>
    </row>
    <row r="673">
      <c r="A673" s="64"/>
      <c r="E673" s="5"/>
    </row>
    <row r="674">
      <c r="A674" s="64"/>
      <c r="E674" s="5"/>
    </row>
    <row r="675">
      <c r="A675" s="64"/>
      <c r="E675" s="5"/>
    </row>
    <row r="676">
      <c r="A676" s="64"/>
      <c r="E676" s="5"/>
    </row>
    <row r="677">
      <c r="A677" s="64"/>
      <c r="E677" s="5"/>
    </row>
    <row r="678">
      <c r="A678" s="64"/>
      <c r="E678" s="5"/>
    </row>
    <row r="679">
      <c r="A679" s="64"/>
      <c r="E679" s="5"/>
    </row>
    <row r="680">
      <c r="A680" s="64"/>
      <c r="E680" s="5"/>
    </row>
    <row r="681">
      <c r="A681" s="64"/>
      <c r="E681" s="5"/>
    </row>
    <row r="682">
      <c r="A682" s="64"/>
      <c r="E682" s="5"/>
    </row>
    <row r="683">
      <c r="A683" s="64"/>
      <c r="E683" s="5"/>
    </row>
    <row r="684">
      <c r="A684" s="64"/>
      <c r="E684" s="5"/>
    </row>
    <row r="685">
      <c r="A685" s="64"/>
      <c r="E685" s="5"/>
    </row>
    <row r="686">
      <c r="A686" s="64"/>
      <c r="E686" s="5"/>
    </row>
    <row r="687">
      <c r="A687" s="64"/>
      <c r="E687" s="5"/>
    </row>
    <row r="688">
      <c r="A688" s="64"/>
      <c r="E688" s="5"/>
    </row>
    <row r="689">
      <c r="A689" s="64"/>
      <c r="E689" s="5"/>
    </row>
    <row r="690">
      <c r="A690" s="64"/>
      <c r="E690" s="5"/>
    </row>
    <row r="691">
      <c r="A691" s="64"/>
      <c r="E691" s="5"/>
    </row>
    <row r="692">
      <c r="A692" s="64"/>
      <c r="E692" s="5"/>
    </row>
    <row r="693">
      <c r="A693" s="64"/>
      <c r="E693" s="5"/>
    </row>
    <row r="694">
      <c r="A694" s="64"/>
      <c r="E694" s="5"/>
    </row>
    <row r="695">
      <c r="A695" s="64"/>
      <c r="E695" s="5"/>
    </row>
    <row r="696">
      <c r="A696" s="64"/>
      <c r="E696" s="5"/>
    </row>
    <row r="697">
      <c r="A697" s="64"/>
      <c r="E697" s="5"/>
    </row>
    <row r="698">
      <c r="A698" s="64"/>
      <c r="E698" s="5"/>
    </row>
    <row r="699">
      <c r="A699" s="64"/>
      <c r="E699" s="5"/>
    </row>
    <row r="700">
      <c r="A700" s="64"/>
      <c r="E700" s="5"/>
    </row>
    <row r="701">
      <c r="A701" s="64"/>
      <c r="E701" s="5"/>
    </row>
    <row r="702">
      <c r="A702" s="64"/>
      <c r="E702" s="5"/>
    </row>
    <row r="703">
      <c r="A703" s="64"/>
      <c r="E703" s="5"/>
    </row>
    <row r="704">
      <c r="A704" s="64"/>
      <c r="E704" s="5"/>
    </row>
    <row r="705">
      <c r="A705" s="64"/>
      <c r="E705" s="5"/>
    </row>
    <row r="706">
      <c r="A706" s="64"/>
      <c r="E706" s="5"/>
    </row>
    <row r="707">
      <c r="A707" s="64"/>
      <c r="E707" s="5"/>
    </row>
    <row r="708">
      <c r="A708" s="64"/>
      <c r="E708" s="5"/>
    </row>
    <row r="709">
      <c r="A709" s="64"/>
      <c r="E709" s="5"/>
    </row>
    <row r="710">
      <c r="A710" s="64"/>
      <c r="E710" s="5"/>
    </row>
    <row r="711">
      <c r="A711" s="64"/>
      <c r="E711" s="5"/>
    </row>
    <row r="712">
      <c r="A712" s="64"/>
      <c r="E712" s="5"/>
    </row>
    <row r="713">
      <c r="A713" s="64"/>
      <c r="E713" s="5"/>
    </row>
    <row r="714">
      <c r="A714" s="64"/>
      <c r="E714" s="5"/>
    </row>
    <row r="715">
      <c r="A715" s="64"/>
      <c r="E715" s="5"/>
    </row>
    <row r="716">
      <c r="A716" s="64"/>
      <c r="E716" s="5"/>
    </row>
    <row r="717">
      <c r="A717" s="64"/>
      <c r="E717" s="5"/>
    </row>
    <row r="718">
      <c r="A718" s="64"/>
      <c r="E718" s="5"/>
    </row>
    <row r="719">
      <c r="A719" s="64"/>
      <c r="E719" s="5"/>
    </row>
    <row r="720">
      <c r="A720" s="64"/>
      <c r="E720" s="5"/>
    </row>
    <row r="721">
      <c r="A721" s="64"/>
      <c r="E721" s="5"/>
    </row>
    <row r="722">
      <c r="A722" s="64"/>
      <c r="E722" s="5"/>
    </row>
    <row r="723">
      <c r="A723" s="64"/>
      <c r="E723" s="5"/>
    </row>
    <row r="724">
      <c r="A724" s="64"/>
      <c r="E724" s="5"/>
    </row>
    <row r="725">
      <c r="A725" s="64"/>
      <c r="E725" s="5"/>
    </row>
    <row r="726">
      <c r="A726" s="64"/>
      <c r="E726" s="5"/>
    </row>
    <row r="727">
      <c r="A727" s="64"/>
      <c r="E727" s="5"/>
    </row>
    <row r="728">
      <c r="A728" s="64"/>
      <c r="E728" s="5"/>
    </row>
    <row r="729">
      <c r="A729" s="64"/>
      <c r="E729" s="5"/>
    </row>
    <row r="730">
      <c r="A730" s="64"/>
      <c r="E730" s="5"/>
    </row>
    <row r="731">
      <c r="A731" s="64"/>
      <c r="E731" s="5"/>
    </row>
    <row r="732">
      <c r="A732" s="64"/>
      <c r="E732" s="5"/>
    </row>
    <row r="733">
      <c r="A733" s="64"/>
      <c r="E733" s="5"/>
    </row>
    <row r="734">
      <c r="A734" s="64"/>
      <c r="E734" s="5"/>
    </row>
    <row r="735">
      <c r="A735" s="64"/>
      <c r="E735" s="5"/>
    </row>
    <row r="736">
      <c r="A736" s="64"/>
      <c r="E736" s="5"/>
    </row>
    <row r="737">
      <c r="A737" s="64"/>
      <c r="E737" s="5"/>
    </row>
    <row r="738">
      <c r="A738" s="64"/>
      <c r="E738" s="5"/>
    </row>
    <row r="739">
      <c r="A739" s="64"/>
      <c r="E739" s="5"/>
    </row>
    <row r="740">
      <c r="A740" s="64"/>
      <c r="E740" s="5"/>
    </row>
    <row r="741">
      <c r="A741" s="64"/>
      <c r="E741" s="5"/>
    </row>
    <row r="742">
      <c r="A742" s="64"/>
      <c r="E742" s="5"/>
    </row>
    <row r="743">
      <c r="A743" s="64"/>
      <c r="E743" s="5"/>
    </row>
    <row r="744">
      <c r="A744" s="64"/>
      <c r="E744" s="5"/>
    </row>
    <row r="745">
      <c r="A745" s="64"/>
      <c r="E745" s="5"/>
    </row>
    <row r="746">
      <c r="A746" s="64"/>
      <c r="E746" s="5"/>
    </row>
    <row r="747">
      <c r="A747" s="64"/>
      <c r="E747" s="5"/>
    </row>
    <row r="748">
      <c r="A748" s="64"/>
      <c r="E748" s="5"/>
    </row>
    <row r="749">
      <c r="A749" s="64"/>
      <c r="E749" s="5"/>
    </row>
    <row r="750">
      <c r="A750" s="64"/>
      <c r="E750" s="5"/>
    </row>
    <row r="751">
      <c r="A751" s="64"/>
      <c r="E751" s="5"/>
    </row>
    <row r="752">
      <c r="A752" s="64"/>
      <c r="E752" s="5"/>
    </row>
    <row r="753">
      <c r="A753" s="64"/>
      <c r="E753" s="5"/>
    </row>
    <row r="754">
      <c r="A754" s="64"/>
      <c r="E754" s="5"/>
    </row>
    <row r="755">
      <c r="A755" s="64"/>
      <c r="E755" s="5"/>
    </row>
    <row r="756">
      <c r="A756" s="64"/>
      <c r="E756" s="5"/>
    </row>
    <row r="757">
      <c r="A757" s="64"/>
      <c r="E757" s="5"/>
    </row>
    <row r="758">
      <c r="A758" s="64"/>
      <c r="E758" s="5"/>
    </row>
    <row r="759">
      <c r="A759" s="64"/>
      <c r="E759" s="5"/>
    </row>
    <row r="760">
      <c r="A760" s="64"/>
      <c r="E760" s="5"/>
    </row>
    <row r="761">
      <c r="A761" s="64"/>
      <c r="E761" s="5"/>
    </row>
    <row r="762">
      <c r="A762" s="64"/>
      <c r="E762" s="5"/>
    </row>
    <row r="763">
      <c r="A763" s="64"/>
      <c r="E763" s="5"/>
    </row>
    <row r="764">
      <c r="A764" s="64"/>
      <c r="E764" s="5"/>
    </row>
    <row r="765">
      <c r="A765" s="64"/>
      <c r="E765" s="5"/>
    </row>
    <row r="766">
      <c r="A766" s="64"/>
      <c r="E766" s="5"/>
    </row>
    <row r="767">
      <c r="A767" s="64"/>
      <c r="E767" s="5"/>
    </row>
    <row r="768">
      <c r="A768" s="64"/>
      <c r="E768" s="5"/>
    </row>
    <row r="769">
      <c r="A769" s="64"/>
      <c r="E769" s="5"/>
    </row>
    <row r="770">
      <c r="A770" s="64"/>
      <c r="E770" s="5"/>
    </row>
    <row r="771">
      <c r="A771" s="64"/>
      <c r="E771" s="5"/>
    </row>
    <row r="772">
      <c r="A772" s="64"/>
      <c r="E772" s="5"/>
    </row>
    <row r="773">
      <c r="A773" s="64"/>
      <c r="E773" s="5"/>
    </row>
    <row r="774">
      <c r="A774" s="64"/>
      <c r="E774" s="5"/>
    </row>
    <row r="775">
      <c r="A775" s="64"/>
      <c r="E775" s="5"/>
    </row>
    <row r="776">
      <c r="A776" s="64"/>
      <c r="E776" s="5"/>
    </row>
    <row r="777">
      <c r="A777" s="64"/>
      <c r="E777" s="5"/>
    </row>
    <row r="778">
      <c r="A778" s="64"/>
      <c r="E778" s="5"/>
    </row>
    <row r="779">
      <c r="A779" s="64"/>
      <c r="E779" s="5"/>
    </row>
    <row r="780">
      <c r="A780" s="64"/>
      <c r="E780" s="5"/>
    </row>
    <row r="781">
      <c r="A781" s="64"/>
      <c r="E781" s="5"/>
    </row>
    <row r="782">
      <c r="A782" s="64"/>
      <c r="E782" s="5"/>
    </row>
    <row r="783">
      <c r="A783" s="64"/>
      <c r="E783" s="5"/>
    </row>
    <row r="784">
      <c r="A784" s="64"/>
      <c r="E784" s="5"/>
    </row>
    <row r="785">
      <c r="A785" s="64"/>
      <c r="E785" s="5"/>
    </row>
    <row r="786">
      <c r="A786" s="64"/>
      <c r="E786" s="5"/>
    </row>
    <row r="787">
      <c r="A787" s="64"/>
      <c r="E787" s="5"/>
    </row>
    <row r="788">
      <c r="A788" s="64"/>
      <c r="E788" s="5"/>
    </row>
    <row r="789">
      <c r="A789" s="64"/>
      <c r="E789" s="5"/>
    </row>
    <row r="790">
      <c r="A790" s="64"/>
      <c r="E790" s="5"/>
    </row>
    <row r="791">
      <c r="A791" s="64"/>
      <c r="E791" s="5"/>
    </row>
    <row r="792">
      <c r="A792" s="64"/>
      <c r="E792" s="5"/>
    </row>
    <row r="793">
      <c r="A793" s="64"/>
      <c r="E793" s="5"/>
    </row>
    <row r="794">
      <c r="A794" s="64"/>
      <c r="E794" s="5"/>
    </row>
    <row r="795">
      <c r="A795" s="64"/>
      <c r="E795" s="5"/>
    </row>
    <row r="796">
      <c r="A796" s="64"/>
      <c r="E796" s="5"/>
    </row>
    <row r="797">
      <c r="A797" s="64"/>
      <c r="E797" s="5"/>
    </row>
    <row r="798">
      <c r="A798" s="64"/>
      <c r="E798" s="5"/>
    </row>
    <row r="799">
      <c r="A799" s="64"/>
      <c r="E799" s="5"/>
    </row>
    <row r="800">
      <c r="A800" s="64"/>
      <c r="E800" s="5"/>
    </row>
    <row r="801">
      <c r="A801" s="64"/>
      <c r="E801" s="5"/>
    </row>
    <row r="802">
      <c r="A802" s="64"/>
      <c r="E802" s="5"/>
    </row>
    <row r="803">
      <c r="A803" s="64"/>
      <c r="E803" s="5"/>
    </row>
    <row r="804">
      <c r="A804" s="64"/>
      <c r="E804" s="5"/>
    </row>
    <row r="805">
      <c r="A805" s="64"/>
      <c r="E805" s="5"/>
    </row>
    <row r="806">
      <c r="A806" s="64"/>
      <c r="E806" s="5"/>
    </row>
    <row r="807">
      <c r="A807" s="64"/>
      <c r="E807" s="5"/>
    </row>
    <row r="808">
      <c r="A808" s="64"/>
      <c r="E808" s="5"/>
    </row>
    <row r="809">
      <c r="A809" s="64"/>
      <c r="E809" s="5"/>
    </row>
    <row r="810">
      <c r="A810" s="64"/>
      <c r="E810" s="5"/>
    </row>
    <row r="811">
      <c r="A811" s="64"/>
      <c r="E811" s="5"/>
    </row>
    <row r="812">
      <c r="A812" s="64"/>
      <c r="E812" s="5"/>
    </row>
    <row r="813">
      <c r="A813" s="64"/>
      <c r="E813" s="5"/>
    </row>
    <row r="814">
      <c r="A814" s="64"/>
      <c r="E814" s="5"/>
    </row>
    <row r="815">
      <c r="A815" s="64"/>
      <c r="E815" s="5"/>
    </row>
    <row r="816">
      <c r="A816" s="64"/>
      <c r="E816" s="5"/>
    </row>
    <row r="817">
      <c r="A817" s="64"/>
      <c r="E817" s="5"/>
    </row>
    <row r="818">
      <c r="A818" s="64"/>
      <c r="E818" s="5"/>
    </row>
    <row r="819">
      <c r="A819" s="64"/>
      <c r="E819" s="5"/>
    </row>
    <row r="820">
      <c r="A820" s="64"/>
      <c r="E820" s="5"/>
    </row>
    <row r="821">
      <c r="A821" s="64"/>
      <c r="E821" s="5"/>
    </row>
    <row r="822">
      <c r="A822" s="64"/>
      <c r="E822" s="5"/>
    </row>
    <row r="823">
      <c r="A823" s="64"/>
      <c r="E823" s="5"/>
    </row>
    <row r="824">
      <c r="A824" s="64"/>
      <c r="E824" s="5"/>
    </row>
    <row r="825">
      <c r="A825" s="64"/>
      <c r="E825" s="5"/>
    </row>
    <row r="826">
      <c r="A826" s="64"/>
      <c r="E826" s="5"/>
    </row>
    <row r="827">
      <c r="A827" s="64"/>
      <c r="E827" s="5"/>
    </row>
    <row r="828">
      <c r="A828" s="64"/>
      <c r="E828" s="5"/>
    </row>
    <row r="829">
      <c r="A829" s="64"/>
      <c r="E829" s="5"/>
    </row>
    <row r="830">
      <c r="A830" s="64"/>
      <c r="E830" s="5"/>
    </row>
    <row r="831">
      <c r="A831" s="64"/>
      <c r="E831" s="5"/>
    </row>
    <row r="832">
      <c r="A832" s="64"/>
      <c r="E832" s="5"/>
    </row>
    <row r="833">
      <c r="A833" s="64"/>
      <c r="E833" s="5"/>
    </row>
    <row r="834">
      <c r="A834" s="64"/>
      <c r="E834" s="5"/>
    </row>
    <row r="835">
      <c r="A835" s="64"/>
      <c r="E835" s="5"/>
    </row>
    <row r="836">
      <c r="A836" s="64"/>
      <c r="E836" s="5"/>
    </row>
    <row r="837">
      <c r="A837" s="64"/>
      <c r="E837" s="5"/>
    </row>
    <row r="838">
      <c r="A838" s="64"/>
      <c r="E838" s="5"/>
    </row>
    <row r="839">
      <c r="A839" s="64"/>
      <c r="E839" s="5"/>
    </row>
    <row r="840">
      <c r="A840" s="64"/>
      <c r="E840" s="5"/>
    </row>
    <row r="841">
      <c r="A841" s="64"/>
      <c r="E841" s="5"/>
    </row>
    <row r="842">
      <c r="A842" s="64"/>
      <c r="E842" s="5"/>
    </row>
    <row r="843">
      <c r="A843" s="64"/>
      <c r="E843" s="5"/>
    </row>
    <row r="844">
      <c r="A844" s="64"/>
      <c r="E844" s="5"/>
    </row>
    <row r="845">
      <c r="A845" s="64"/>
      <c r="E845" s="5"/>
    </row>
    <row r="846">
      <c r="A846" s="64"/>
      <c r="E846" s="5"/>
    </row>
    <row r="847">
      <c r="A847" s="64"/>
      <c r="E847" s="5"/>
    </row>
    <row r="848">
      <c r="A848" s="64"/>
      <c r="E848" s="5"/>
    </row>
    <row r="849">
      <c r="A849" s="64"/>
      <c r="E849" s="5"/>
    </row>
    <row r="850">
      <c r="A850" s="64"/>
      <c r="E850" s="5"/>
    </row>
    <row r="851">
      <c r="A851" s="64"/>
      <c r="E851" s="5"/>
    </row>
    <row r="852">
      <c r="A852" s="64"/>
      <c r="E852" s="5"/>
    </row>
    <row r="853">
      <c r="A853" s="64"/>
      <c r="E853" s="5"/>
    </row>
    <row r="854">
      <c r="A854" s="64"/>
      <c r="E854" s="5"/>
    </row>
    <row r="855">
      <c r="A855" s="64"/>
      <c r="E855" s="5"/>
    </row>
    <row r="856">
      <c r="A856" s="64"/>
      <c r="E856" s="5"/>
    </row>
    <row r="857">
      <c r="A857" s="64"/>
      <c r="E857" s="5"/>
    </row>
    <row r="858">
      <c r="A858" s="64"/>
      <c r="E858" s="5"/>
    </row>
    <row r="859">
      <c r="A859" s="64"/>
      <c r="E859" s="5"/>
    </row>
    <row r="860">
      <c r="A860" s="64"/>
      <c r="E860" s="5"/>
    </row>
    <row r="861">
      <c r="A861" s="64"/>
      <c r="E861" s="5"/>
    </row>
    <row r="862">
      <c r="A862" s="64"/>
      <c r="E862" s="5"/>
    </row>
    <row r="863">
      <c r="A863" s="64"/>
      <c r="E863" s="5"/>
    </row>
    <row r="864">
      <c r="A864" s="64"/>
      <c r="E864" s="5"/>
    </row>
    <row r="865">
      <c r="A865" s="64"/>
      <c r="E865" s="5"/>
    </row>
    <row r="866">
      <c r="A866" s="64"/>
      <c r="E866" s="5"/>
    </row>
    <row r="867">
      <c r="A867" s="64"/>
      <c r="E867" s="5"/>
    </row>
    <row r="868">
      <c r="A868" s="64"/>
      <c r="E868" s="5"/>
    </row>
    <row r="869">
      <c r="A869" s="64"/>
      <c r="E869" s="5"/>
    </row>
    <row r="870">
      <c r="A870" s="64"/>
      <c r="E870" s="5"/>
    </row>
    <row r="871">
      <c r="A871" s="64"/>
      <c r="E871" s="5"/>
    </row>
    <row r="872">
      <c r="A872" s="64"/>
      <c r="E872" s="5"/>
    </row>
    <row r="873">
      <c r="A873" s="64"/>
      <c r="E873" s="5"/>
    </row>
    <row r="874">
      <c r="A874" s="64"/>
      <c r="E874" s="5"/>
    </row>
    <row r="875">
      <c r="A875" s="64"/>
      <c r="E875" s="5"/>
    </row>
    <row r="876">
      <c r="A876" s="64"/>
      <c r="E876" s="5"/>
    </row>
    <row r="877">
      <c r="A877" s="64"/>
      <c r="E877" s="5"/>
    </row>
    <row r="878">
      <c r="A878" s="64"/>
      <c r="E878" s="5"/>
    </row>
    <row r="879">
      <c r="A879" s="64"/>
      <c r="E879" s="5"/>
    </row>
    <row r="880">
      <c r="A880" s="64"/>
      <c r="E880" s="5"/>
    </row>
    <row r="881">
      <c r="A881" s="64"/>
      <c r="E881" s="5"/>
    </row>
    <row r="882">
      <c r="A882" s="64"/>
      <c r="E882" s="5"/>
    </row>
    <row r="883">
      <c r="A883" s="64"/>
      <c r="E883" s="5"/>
    </row>
    <row r="884">
      <c r="A884" s="64"/>
      <c r="E884" s="5"/>
    </row>
    <row r="885">
      <c r="A885" s="64"/>
      <c r="E885" s="5"/>
    </row>
    <row r="886">
      <c r="A886" s="64"/>
      <c r="E886" s="5"/>
    </row>
    <row r="887">
      <c r="A887" s="64"/>
      <c r="E887" s="5"/>
    </row>
    <row r="888">
      <c r="A888" s="64"/>
      <c r="E888" s="5"/>
    </row>
    <row r="889">
      <c r="A889" s="64"/>
      <c r="E889" s="5"/>
    </row>
    <row r="890">
      <c r="A890" s="64"/>
      <c r="E890" s="5"/>
    </row>
    <row r="891">
      <c r="A891" s="64"/>
      <c r="E891" s="5"/>
    </row>
    <row r="892">
      <c r="A892" s="64"/>
      <c r="E892" s="5"/>
    </row>
    <row r="893">
      <c r="A893" s="64"/>
      <c r="E893" s="5"/>
    </row>
    <row r="894">
      <c r="A894" s="64"/>
      <c r="E894" s="5"/>
    </row>
    <row r="895">
      <c r="A895" s="64"/>
      <c r="E895" s="5"/>
    </row>
    <row r="896">
      <c r="A896" s="64"/>
      <c r="E896" s="5"/>
    </row>
    <row r="897">
      <c r="A897" s="64"/>
      <c r="E897" s="5"/>
    </row>
    <row r="898">
      <c r="A898" s="64"/>
      <c r="E898" s="5"/>
    </row>
    <row r="899">
      <c r="A899" s="64"/>
      <c r="E899" s="5"/>
    </row>
    <row r="900">
      <c r="A900" s="64"/>
      <c r="E900" s="5"/>
    </row>
    <row r="901">
      <c r="A901" s="64"/>
      <c r="E901" s="5"/>
    </row>
    <row r="902">
      <c r="A902" s="64"/>
      <c r="E902" s="5"/>
    </row>
    <row r="903">
      <c r="A903" s="64"/>
      <c r="E903" s="5"/>
    </row>
    <row r="904">
      <c r="A904" s="64"/>
      <c r="E904" s="5"/>
    </row>
    <row r="905">
      <c r="A905" s="64"/>
      <c r="E905" s="5"/>
    </row>
    <row r="906">
      <c r="A906" s="64"/>
      <c r="E906" s="5"/>
    </row>
    <row r="907">
      <c r="A907" s="64"/>
      <c r="E907" s="5"/>
    </row>
    <row r="908">
      <c r="A908" s="64"/>
      <c r="E908" s="5"/>
    </row>
    <row r="909">
      <c r="A909" s="64"/>
      <c r="E909" s="5"/>
    </row>
    <row r="910">
      <c r="A910" s="64"/>
      <c r="E910" s="5"/>
    </row>
    <row r="911">
      <c r="A911" s="64"/>
      <c r="E911" s="5"/>
    </row>
    <row r="912">
      <c r="A912" s="64"/>
      <c r="E912" s="5"/>
    </row>
    <row r="913">
      <c r="A913" s="64"/>
      <c r="E913" s="5"/>
    </row>
    <row r="914">
      <c r="A914" s="64"/>
      <c r="E914" s="5"/>
    </row>
    <row r="915">
      <c r="A915" s="64"/>
      <c r="E915" s="5"/>
    </row>
    <row r="916">
      <c r="A916" s="64"/>
      <c r="E916" s="5"/>
    </row>
    <row r="917">
      <c r="A917" s="64"/>
      <c r="E917" s="5"/>
    </row>
    <row r="918">
      <c r="A918" s="64"/>
      <c r="E918" s="5"/>
    </row>
    <row r="919">
      <c r="A919" s="64"/>
      <c r="E919" s="5"/>
    </row>
    <row r="920">
      <c r="A920" s="64"/>
      <c r="E920" s="5"/>
    </row>
    <row r="921">
      <c r="A921" s="64"/>
      <c r="E921" s="5"/>
    </row>
    <row r="922">
      <c r="A922" s="64"/>
      <c r="E922" s="5"/>
    </row>
    <row r="923">
      <c r="A923" s="64"/>
      <c r="E923" s="5"/>
    </row>
    <row r="924">
      <c r="A924" s="64"/>
      <c r="E924" s="5"/>
    </row>
    <row r="925">
      <c r="A925" s="64"/>
      <c r="E925" s="5"/>
    </row>
    <row r="926">
      <c r="A926" s="64"/>
      <c r="E926" s="5"/>
    </row>
    <row r="927">
      <c r="A927" s="64"/>
      <c r="E927" s="5"/>
    </row>
    <row r="928">
      <c r="A928" s="64"/>
      <c r="E928" s="5"/>
    </row>
    <row r="929">
      <c r="A929" s="64"/>
      <c r="E929" s="5"/>
    </row>
    <row r="930">
      <c r="A930" s="64"/>
      <c r="E930" s="5"/>
    </row>
    <row r="931">
      <c r="A931" s="64"/>
      <c r="E931" s="5"/>
    </row>
    <row r="932">
      <c r="A932" s="64"/>
      <c r="E932" s="5"/>
    </row>
    <row r="933">
      <c r="A933" s="64"/>
      <c r="E933" s="5"/>
    </row>
    <row r="934">
      <c r="A934" s="64"/>
      <c r="E934" s="5"/>
    </row>
    <row r="935">
      <c r="A935" s="64"/>
      <c r="E935" s="5"/>
    </row>
    <row r="936">
      <c r="A936" s="64"/>
      <c r="E936" s="5"/>
    </row>
    <row r="937">
      <c r="A937" s="64"/>
      <c r="E937" s="5"/>
    </row>
    <row r="938">
      <c r="A938" s="64"/>
      <c r="E938" s="5"/>
    </row>
    <row r="939">
      <c r="A939" s="64"/>
      <c r="E939" s="5"/>
    </row>
    <row r="940">
      <c r="A940" s="64"/>
      <c r="E940" s="5"/>
    </row>
    <row r="941">
      <c r="A941" s="64"/>
      <c r="E941" s="5"/>
    </row>
    <row r="942">
      <c r="A942" s="64"/>
      <c r="E942" s="5"/>
    </row>
    <row r="943">
      <c r="A943" s="64"/>
      <c r="E943" s="5"/>
    </row>
    <row r="944">
      <c r="A944" s="64"/>
      <c r="E944" s="5"/>
    </row>
    <row r="945">
      <c r="A945" s="64"/>
      <c r="E945" s="5"/>
    </row>
    <row r="946">
      <c r="A946" s="64"/>
      <c r="E946" s="5"/>
    </row>
    <row r="947">
      <c r="A947" s="64"/>
      <c r="E947" s="5"/>
    </row>
    <row r="948">
      <c r="A948" s="64"/>
      <c r="E948" s="5"/>
    </row>
    <row r="949">
      <c r="A949" s="64"/>
      <c r="E949" s="5"/>
    </row>
    <row r="950">
      <c r="A950" s="64"/>
      <c r="E950" s="5"/>
    </row>
    <row r="951">
      <c r="A951" s="64"/>
      <c r="E951" s="5"/>
    </row>
    <row r="952">
      <c r="A952" s="64"/>
      <c r="E952" s="5"/>
    </row>
    <row r="953">
      <c r="A953" s="64"/>
      <c r="E953" s="5"/>
    </row>
    <row r="954">
      <c r="A954" s="64"/>
      <c r="E954" s="5"/>
    </row>
    <row r="955">
      <c r="A955" s="64"/>
      <c r="E955" s="5"/>
    </row>
    <row r="956">
      <c r="A956" s="64"/>
      <c r="E956" s="5"/>
    </row>
    <row r="957">
      <c r="A957" s="64"/>
      <c r="E957" s="5"/>
    </row>
    <row r="958">
      <c r="A958" s="64"/>
      <c r="E958" s="5"/>
    </row>
    <row r="959">
      <c r="A959" s="64"/>
      <c r="E959" s="5"/>
    </row>
    <row r="960">
      <c r="A960" s="64"/>
      <c r="E960" s="5"/>
    </row>
    <row r="961">
      <c r="A961" s="64"/>
      <c r="E961" s="5"/>
    </row>
    <row r="962">
      <c r="A962" s="64"/>
      <c r="E962" s="5"/>
    </row>
    <row r="963">
      <c r="A963" s="64"/>
      <c r="E963" s="5"/>
    </row>
    <row r="964">
      <c r="A964" s="64"/>
      <c r="E964" s="5"/>
    </row>
    <row r="965">
      <c r="A965" s="64"/>
      <c r="E965" s="5"/>
    </row>
    <row r="966">
      <c r="A966" s="64"/>
      <c r="E966" s="5"/>
    </row>
    <row r="967">
      <c r="A967" s="64"/>
      <c r="E967" s="5"/>
    </row>
    <row r="968">
      <c r="A968" s="64"/>
      <c r="E968" s="5"/>
    </row>
    <row r="969">
      <c r="A969" s="64"/>
      <c r="E969" s="5"/>
    </row>
    <row r="970">
      <c r="A970" s="64"/>
      <c r="E970" s="5"/>
    </row>
    <row r="971">
      <c r="A971" s="64"/>
      <c r="E971" s="5"/>
    </row>
    <row r="972">
      <c r="A972" s="64"/>
      <c r="E972" s="5"/>
    </row>
    <row r="973">
      <c r="A973" s="64"/>
      <c r="E973" s="5"/>
    </row>
    <row r="974">
      <c r="A974" s="64"/>
      <c r="E974" s="5"/>
    </row>
    <row r="975">
      <c r="A975" s="64"/>
      <c r="E975" s="5"/>
    </row>
    <row r="976">
      <c r="A976" s="64"/>
      <c r="E976" s="5"/>
    </row>
    <row r="977">
      <c r="A977" s="64"/>
      <c r="E977" s="5"/>
    </row>
    <row r="978">
      <c r="A978" s="64"/>
      <c r="E978" s="5"/>
    </row>
    <row r="979">
      <c r="A979" s="64"/>
      <c r="E979" s="5"/>
    </row>
    <row r="980">
      <c r="A980" s="64"/>
      <c r="E980" s="5"/>
    </row>
    <row r="981">
      <c r="A981" s="64"/>
      <c r="E981" s="5"/>
    </row>
    <row r="982">
      <c r="A982" s="64"/>
      <c r="E982" s="5"/>
    </row>
    <row r="983">
      <c r="A983" s="64"/>
      <c r="E983" s="5"/>
    </row>
    <row r="984">
      <c r="A984" s="64"/>
      <c r="E984" s="5"/>
    </row>
    <row r="985">
      <c r="A985" s="64"/>
      <c r="E985" s="5"/>
    </row>
    <row r="986">
      <c r="A986" s="64"/>
      <c r="E986" s="5"/>
    </row>
    <row r="987">
      <c r="A987" s="64"/>
      <c r="E987" s="5"/>
    </row>
    <row r="988">
      <c r="A988" s="64"/>
      <c r="E988" s="5"/>
    </row>
    <row r="989">
      <c r="A989" s="64"/>
      <c r="E989" s="5"/>
    </row>
    <row r="990">
      <c r="A990" s="64"/>
      <c r="E990" s="5"/>
    </row>
    <row r="991">
      <c r="A991" s="64"/>
      <c r="E991" s="5"/>
    </row>
    <row r="992">
      <c r="A992" s="64"/>
      <c r="E992" s="5"/>
    </row>
    <row r="993">
      <c r="A993" s="64"/>
      <c r="E993" s="5"/>
    </row>
    <row r="994">
      <c r="A994" s="64"/>
      <c r="E994" s="5"/>
    </row>
    <row r="995">
      <c r="A995" s="64"/>
      <c r="E995" s="5"/>
    </row>
    <row r="996">
      <c r="A996" s="64"/>
      <c r="E996" s="5"/>
    </row>
    <row r="997">
      <c r="A997" s="64"/>
      <c r="E997" s="5"/>
    </row>
    <row r="998">
      <c r="A998" s="64"/>
      <c r="E998" s="5"/>
    </row>
    <row r="999">
      <c r="A999" s="64"/>
      <c r="E999" s="5"/>
    </row>
    <row r="1000">
      <c r="A1000" s="64"/>
      <c r="E1000" s="5"/>
    </row>
    <row r="1001">
      <c r="A1001" s="64"/>
      <c r="E1001" s="5"/>
    </row>
    <row r="1002">
      <c r="A1002" s="64"/>
      <c r="E1002" s="5"/>
    </row>
    <row r="1003">
      <c r="A1003" s="64"/>
      <c r="E1003" s="5"/>
    </row>
    <row r="1004">
      <c r="A1004" s="64"/>
      <c r="E1004" s="5"/>
    </row>
    <row r="1005">
      <c r="A1005" s="64"/>
      <c r="E1005" s="5"/>
    </row>
    <row r="1006">
      <c r="A1006" s="64"/>
      <c r="E1006" s="5"/>
    </row>
    <row r="1007">
      <c r="A1007" s="64"/>
      <c r="E1007" s="5"/>
    </row>
    <row r="1008">
      <c r="A1008" s="64"/>
      <c r="E1008" s="5"/>
    </row>
    <row r="1009">
      <c r="A1009" s="64"/>
      <c r="E1009" s="5"/>
    </row>
    <row r="1010">
      <c r="A1010" s="64"/>
      <c r="E1010" s="5"/>
    </row>
    <row r="1011">
      <c r="A1011" s="64"/>
      <c r="E1011" s="5"/>
    </row>
    <row r="1012">
      <c r="A1012" s="64"/>
      <c r="E1012" s="5"/>
    </row>
    <row r="1013">
      <c r="A1013" s="64"/>
      <c r="E1013" s="5"/>
    </row>
    <row r="1014">
      <c r="A1014" s="64"/>
      <c r="E1014" s="5"/>
    </row>
    <row r="1015">
      <c r="A1015" s="64"/>
      <c r="E1015" s="5"/>
    </row>
    <row r="1016">
      <c r="A1016" s="64"/>
      <c r="E1016" s="5"/>
    </row>
    <row r="1017">
      <c r="A1017" s="64"/>
      <c r="E1017" s="5"/>
    </row>
    <row r="1018">
      <c r="A1018" s="64"/>
      <c r="E1018" s="5"/>
    </row>
    <row r="1019">
      <c r="A1019" s="64"/>
      <c r="E1019" s="5"/>
    </row>
    <row r="1020">
      <c r="A1020" s="64"/>
      <c r="E1020" s="5"/>
    </row>
    <row r="1021">
      <c r="A1021" s="64"/>
      <c r="E1021" s="5"/>
    </row>
    <row r="1022">
      <c r="A1022" s="64"/>
      <c r="E1022" s="5"/>
    </row>
    <row r="1023">
      <c r="A1023" s="64"/>
      <c r="E1023" s="5"/>
    </row>
    <row r="1024">
      <c r="A1024" s="64"/>
      <c r="E1024" s="5"/>
    </row>
    <row r="1025">
      <c r="A1025" s="64"/>
      <c r="E1025" s="5"/>
    </row>
  </sheetData>
  <conditionalFormatting sqref="C2">
    <cfRule type="expression" dxfId="5" priority="1">
      <formula>COUNTIF(B:B, C2)&gt;1</formula>
    </cfRule>
  </conditionalFormatting>
  <conditionalFormatting sqref="B3:B1025">
    <cfRule type="expression" dxfId="5" priority="2">
      <formula>COUNTIF(B:B, B3)&gt;1</formula>
    </cfRule>
  </conditionalFormatting>
  <conditionalFormatting sqref="A5:A1025">
    <cfRule type="cellIs" dxfId="6" priority="3" operator="equal">
      <formula>0</formula>
    </cfRule>
  </conditionalFormatting>
  <conditionalFormatting sqref="A5:A1025">
    <cfRule type="cellIs" dxfId="7" priority="4" operator="greaterThan">
      <formula>1</formula>
    </cfRule>
  </conditionalFormatting>
  <conditionalFormatting sqref="A5:A1025">
    <cfRule type="cellIs" dxfId="8" priority="5" operator="equal">
      <formula>1</formula>
    </cfRule>
  </conditionalFormatting>
  <conditionalFormatting sqref="D1:D2">
    <cfRule type="cellIs" dxfId="8" priority="6" operator="lessThan">
      <formula>MIN(G1:G2)</formula>
    </cfRule>
  </conditionalFormatting>
  <conditionalFormatting sqref="D1:D2">
    <cfRule type="cellIs" dxfId="5" priority="7" operator="greaterThan">
      <formula>MIN(G1:G2)</formula>
    </cfRule>
  </conditionalFormatting>
  <dataValidations>
    <dataValidation type="custom" allowBlank="1" showDropDown="1" sqref="F5:F69">
      <formula1>AND(ISNUMBER(F5),(NOT(OR(NOT(ISERROR(DATEVALUE(F5))), AND(ISNUMBER(F5), LEFT(CELL("format", F5))="D")))))</formula1>
    </dataValidation>
  </dataValidations>
  <hyperlinks>
    <hyperlink r:id="rId2" ref="J1"/>
  </hyperlinks>
  <drawing r:id="rId3"/>
  <legacyDrawing r:id="rId4"/>
  <tableParts count="1">
    <tablePart r:id="rId6"/>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5" max="5" width="27.13"/>
    <col customWidth="1" min="6" max="6" width="50.5"/>
    <col customWidth="1" min="7" max="7" width="14.88"/>
  </cols>
  <sheetData>
    <row r="2">
      <c r="A2" s="66" t="s">
        <v>9</v>
      </c>
      <c r="B2" s="67" t="s">
        <v>210</v>
      </c>
      <c r="C2" s="67" t="s">
        <v>211</v>
      </c>
      <c r="D2" s="67" t="s">
        <v>212</v>
      </c>
      <c r="E2" s="67" t="s">
        <v>10</v>
      </c>
      <c r="F2" s="67" t="s">
        <v>18</v>
      </c>
      <c r="G2" s="67" t="s">
        <v>213</v>
      </c>
      <c r="H2" s="67" t="s">
        <v>214</v>
      </c>
      <c r="I2" s="67" t="s">
        <v>215</v>
      </c>
      <c r="J2" s="67" t="s">
        <v>216</v>
      </c>
      <c r="K2" s="67" t="s">
        <v>217</v>
      </c>
      <c r="L2" s="67" t="s">
        <v>218</v>
      </c>
      <c r="M2" s="67" t="s">
        <v>219</v>
      </c>
      <c r="N2" s="68" t="s">
        <v>220</v>
      </c>
    </row>
    <row r="3">
      <c r="A3" s="69" t="s">
        <v>19</v>
      </c>
      <c r="B3" s="70">
        <v>2.0</v>
      </c>
      <c r="C3" s="70">
        <v>0.0</v>
      </c>
      <c r="D3" s="70">
        <v>16.0</v>
      </c>
      <c r="E3" s="70" t="s">
        <v>221</v>
      </c>
      <c r="F3" s="70" t="s">
        <v>222</v>
      </c>
      <c r="G3" s="70" t="s">
        <v>223</v>
      </c>
      <c r="H3" s="70" t="s">
        <v>224</v>
      </c>
      <c r="I3" s="70">
        <v>0.1</v>
      </c>
      <c r="J3" s="70">
        <v>0.0</v>
      </c>
      <c r="K3" s="70" t="s">
        <v>225</v>
      </c>
      <c r="L3" s="71">
        <f t="shared" ref="L3:L4" si="1">IF(H3="NO", J3, (-(2^(D3-1))+J3)*I3)</f>
        <v>-3276.8</v>
      </c>
      <c r="M3" s="71">
        <f t="shared" ref="M3:M4" si="2">IF(H3="NO",(((2^D3)-1+J3)*I3),(((2^(D3-1))-1+J3)*I3))</f>
        <v>3276.7</v>
      </c>
      <c r="N3" s="72">
        <f t="shared" ref="N3:N4" si="3">(M3-L3)/(2^D3)</f>
        <v>0.09999847412</v>
      </c>
    </row>
    <row r="4">
      <c r="A4" s="73"/>
      <c r="B4" s="74"/>
      <c r="C4" s="75">
        <v>16.0</v>
      </c>
      <c r="D4" s="74"/>
      <c r="E4" s="74"/>
      <c r="F4" s="74"/>
      <c r="G4" s="75"/>
      <c r="H4" s="75"/>
      <c r="I4" s="74"/>
      <c r="J4" s="74"/>
      <c r="K4" s="74"/>
      <c r="L4" s="74">
        <f t="shared" si="1"/>
        <v>0</v>
      </c>
      <c r="M4" s="74">
        <f t="shared" si="2"/>
        <v>0</v>
      </c>
      <c r="N4" s="76">
        <f t="shared" si="3"/>
        <v>0</v>
      </c>
    </row>
    <row r="5">
      <c r="A5" s="77"/>
      <c r="B5" s="78"/>
      <c r="C5" s="78"/>
      <c r="D5" s="78"/>
      <c r="E5" s="78"/>
      <c r="F5" s="78"/>
      <c r="G5" s="78"/>
      <c r="H5" s="78"/>
      <c r="I5" s="78"/>
      <c r="J5" s="78"/>
      <c r="K5" s="78"/>
      <c r="L5" s="79"/>
      <c r="M5" s="79"/>
      <c r="N5" s="80"/>
    </row>
    <row r="6">
      <c r="A6" s="69" t="s">
        <v>24</v>
      </c>
      <c r="B6" s="70">
        <v>2.0</v>
      </c>
      <c r="C6" s="70">
        <v>0.0</v>
      </c>
      <c r="D6" s="70">
        <v>16.0</v>
      </c>
      <c r="E6" s="70" t="s">
        <v>226</v>
      </c>
      <c r="F6" s="70" t="s">
        <v>227</v>
      </c>
      <c r="G6" s="70" t="s">
        <v>223</v>
      </c>
      <c r="H6" s="70" t="s">
        <v>224</v>
      </c>
      <c r="I6" s="70">
        <v>0.1</v>
      </c>
      <c r="J6" s="70">
        <v>0.0</v>
      </c>
      <c r="K6" s="70" t="s">
        <v>228</v>
      </c>
      <c r="L6" s="71">
        <f t="shared" ref="L6:L7" si="4">IF(H6="NO", J6, (-(2^(D6-1))+J6)*I6)</f>
        <v>-3276.8</v>
      </c>
      <c r="M6" s="71">
        <f t="shared" ref="M6:M7" si="5">IF(H6="NO",(((2^D6)-1+J6)*I6),(((2^(D6-1))-1+J6)*I6))</f>
        <v>3276.7</v>
      </c>
      <c r="N6" s="72">
        <f t="shared" ref="N6:N7" si="6">(M6-L6)/(2^D6)</f>
        <v>0.09999847412</v>
      </c>
    </row>
    <row r="7">
      <c r="A7" s="73"/>
      <c r="B7" s="74"/>
      <c r="C7" s="75">
        <v>16.0</v>
      </c>
      <c r="D7" s="74"/>
      <c r="E7" s="74"/>
      <c r="F7" s="74"/>
      <c r="G7" s="75"/>
      <c r="H7" s="75"/>
      <c r="I7" s="74"/>
      <c r="J7" s="74"/>
      <c r="K7" s="74"/>
      <c r="L7" s="74">
        <f t="shared" si="4"/>
        <v>0</v>
      </c>
      <c r="M7" s="74">
        <f t="shared" si="5"/>
        <v>0</v>
      </c>
      <c r="N7" s="76">
        <f t="shared" si="6"/>
        <v>0</v>
      </c>
    </row>
    <row r="8">
      <c r="A8" s="77"/>
      <c r="B8" s="78"/>
      <c r="C8" s="78"/>
      <c r="D8" s="78"/>
      <c r="E8" s="78"/>
      <c r="F8" s="78"/>
      <c r="G8" s="78"/>
      <c r="H8" s="78"/>
      <c r="I8" s="78"/>
      <c r="J8" s="78"/>
      <c r="K8" s="78"/>
      <c r="L8" s="79"/>
      <c r="M8" s="79"/>
      <c r="N8" s="80"/>
    </row>
    <row r="9">
      <c r="A9" s="69" t="s">
        <v>27</v>
      </c>
      <c r="B9" s="70">
        <v>4.0</v>
      </c>
      <c r="C9" s="70">
        <v>0.0</v>
      </c>
      <c r="D9" s="70">
        <v>32.0</v>
      </c>
      <c r="E9" s="70" t="s">
        <v>229</v>
      </c>
      <c r="F9" s="70" t="s">
        <v>230</v>
      </c>
      <c r="G9" s="70" t="s">
        <v>223</v>
      </c>
      <c r="H9" s="70" t="s">
        <v>224</v>
      </c>
      <c r="I9" s="70">
        <v>1.0</v>
      </c>
      <c r="J9" s="70">
        <v>0.0</v>
      </c>
      <c r="K9" s="70" t="s">
        <v>231</v>
      </c>
      <c r="L9" s="71">
        <f t="shared" ref="L9:L10" si="7">IF(H9="NO", J9, (-(2^(D9-1))+J9)*I9)</f>
        <v>-2147483648</v>
      </c>
      <c r="M9" s="71">
        <f t="shared" ref="M9:M10" si="8">IF(H9="NO",(((2^D9)-1+J9)*I9),(((2^(D9-1))-1+J9)*I9))</f>
        <v>2147483647</v>
      </c>
      <c r="N9" s="72">
        <f t="shared" ref="N9:N10" si="9">(M9-L9)/(2^D9)</f>
        <v>0.9999999998</v>
      </c>
    </row>
    <row r="10">
      <c r="A10" s="73"/>
      <c r="B10" s="74"/>
      <c r="C10" s="75">
        <v>32.0</v>
      </c>
      <c r="D10" s="74"/>
      <c r="E10" s="74"/>
      <c r="F10" s="74"/>
      <c r="G10" s="75"/>
      <c r="H10" s="75"/>
      <c r="I10" s="74"/>
      <c r="J10" s="74"/>
      <c r="K10" s="74"/>
      <c r="L10" s="74">
        <f t="shared" si="7"/>
        <v>0</v>
      </c>
      <c r="M10" s="74">
        <f t="shared" si="8"/>
        <v>0</v>
      </c>
      <c r="N10" s="76">
        <f t="shared" si="9"/>
        <v>0</v>
      </c>
    </row>
    <row r="11">
      <c r="A11" s="77"/>
      <c r="B11" s="78"/>
      <c r="C11" s="78"/>
      <c r="D11" s="78"/>
      <c r="E11" s="78"/>
      <c r="F11" s="78"/>
      <c r="G11" s="78"/>
      <c r="H11" s="78"/>
      <c r="I11" s="78"/>
      <c r="J11" s="78"/>
      <c r="K11" s="78"/>
      <c r="L11" s="79"/>
      <c r="M11" s="79"/>
      <c r="N11" s="80"/>
    </row>
    <row r="12">
      <c r="A12" s="69" t="s">
        <v>30</v>
      </c>
      <c r="B12" s="70">
        <v>2.0</v>
      </c>
      <c r="C12" s="70">
        <v>0.0</v>
      </c>
      <c r="D12" s="70">
        <v>16.0</v>
      </c>
      <c r="E12" s="70" t="s">
        <v>232</v>
      </c>
      <c r="F12" s="70" t="s">
        <v>233</v>
      </c>
      <c r="G12" s="70" t="s">
        <v>223</v>
      </c>
      <c r="H12" s="70" t="s">
        <v>224</v>
      </c>
      <c r="I12" s="70">
        <v>0.1</v>
      </c>
      <c r="J12" s="70">
        <v>0.0</v>
      </c>
      <c r="K12" s="70" t="s">
        <v>234</v>
      </c>
      <c r="L12" s="71">
        <f t="shared" ref="L12:L13" si="10">IF(H12="NO", J12, (-(2^(D12-1))+J12)*I12)</f>
        <v>-3276.8</v>
      </c>
      <c r="M12" s="71">
        <f t="shared" ref="M12:M13" si="11">IF(H12="NO",(((2^D12)-1+J12)*I12),(((2^(D12-1))-1+J12)*I12))</f>
        <v>3276.7</v>
      </c>
      <c r="N12" s="72">
        <f t="shared" ref="N12:N13" si="12">(M12-L12)/(2^D12)</f>
        <v>0.09999847412</v>
      </c>
    </row>
    <row r="13">
      <c r="A13" s="73"/>
      <c r="B13" s="74"/>
      <c r="C13" s="75">
        <v>16.0</v>
      </c>
      <c r="D13" s="74"/>
      <c r="E13" s="74"/>
      <c r="F13" s="74"/>
      <c r="G13" s="75"/>
      <c r="H13" s="75"/>
      <c r="I13" s="74"/>
      <c r="J13" s="74"/>
      <c r="K13" s="74"/>
      <c r="L13" s="74">
        <f t="shared" si="10"/>
        <v>0</v>
      </c>
      <c r="M13" s="74">
        <f t="shared" si="11"/>
        <v>0</v>
      </c>
      <c r="N13" s="76">
        <f t="shared" si="12"/>
        <v>0</v>
      </c>
    </row>
    <row r="14">
      <c r="A14" s="77"/>
      <c r="B14" s="78"/>
      <c r="C14" s="78"/>
      <c r="D14" s="78"/>
      <c r="E14" s="78"/>
      <c r="F14" s="78"/>
      <c r="G14" s="78"/>
      <c r="H14" s="78"/>
      <c r="I14" s="78"/>
      <c r="J14" s="78"/>
      <c r="K14" s="78"/>
      <c r="L14" s="79"/>
      <c r="M14" s="79"/>
      <c r="N14" s="80"/>
      <c r="O14" s="7"/>
    </row>
    <row r="15">
      <c r="A15" s="69" t="s">
        <v>60</v>
      </c>
      <c r="B15" s="70">
        <v>2.0</v>
      </c>
      <c r="C15" s="70">
        <v>0.0</v>
      </c>
      <c r="D15" s="70">
        <v>16.0</v>
      </c>
      <c r="E15" s="70" t="s">
        <v>235</v>
      </c>
      <c r="F15" s="70" t="s">
        <v>236</v>
      </c>
      <c r="G15" s="70" t="s">
        <v>223</v>
      </c>
      <c r="H15" s="70" t="s">
        <v>224</v>
      </c>
      <c r="I15" s="70">
        <v>0.1</v>
      </c>
      <c r="J15" s="70">
        <v>0.0</v>
      </c>
      <c r="K15" s="70" t="s">
        <v>237</v>
      </c>
      <c r="L15" s="71">
        <f t="shared" ref="L15:L16" si="13">IF(H15="NO", J15, (-(2^(D15-1))+J15)*I15)</f>
        <v>-3276.8</v>
      </c>
      <c r="M15" s="71">
        <f t="shared" ref="M15:M16" si="14">IF(H15="NO",(((2^D15)-1+J15)*I15),(((2^(D15-1))-1+J15)*I15))</f>
        <v>3276.7</v>
      </c>
      <c r="N15" s="72">
        <f t="shared" ref="N15:N16" si="15">(M15-L15)/(2^D15)</f>
        <v>0.09999847412</v>
      </c>
      <c r="O15" s="7" t="s">
        <v>238</v>
      </c>
    </row>
    <row r="16">
      <c r="A16" s="73"/>
      <c r="B16" s="74"/>
      <c r="C16" s="75">
        <v>16.0</v>
      </c>
      <c r="D16" s="74"/>
      <c r="E16" s="74"/>
      <c r="F16" s="74"/>
      <c r="G16" s="75"/>
      <c r="H16" s="75"/>
      <c r="I16" s="74"/>
      <c r="J16" s="74"/>
      <c r="K16" s="74"/>
      <c r="L16" s="74">
        <f t="shared" si="13"/>
        <v>0</v>
      </c>
      <c r="M16" s="74">
        <f t="shared" si="14"/>
        <v>0</v>
      </c>
      <c r="N16" s="76">
        <f t="shared" si="15"/>
        <v>0</v>
      </c>
    </row>
    <row r="17">
      <c r="A17" s="77"/>
      <c r="B17" s="78"/>
      <c r="C17" s="78"/>
      <c r="D17" s="78"/>
      <c r="E17" s="78"/>
      <c r="F17" s="78"/>
      <c r="G17" s="78"/>
      <c r="H17" s="78"/>
      <c r="I17" s="78"/>
      <c r="J17" s="78"/>
      <c r="K17" s="78"/>
      <c r="L17" s="79"/>
      <c r="M17" s="79"/>
      <c r="N17" s="80"/>
      <c r="O17" s="7"/>
    </row>
    <row r="18">
      <c r="A18" s="69" t="s">
        <v>33</v>
      </c>
      <c r="B18" s="70">
        <v>2.0</v>
      </c>
      <c r="C18" s="70">
        <v>0.0</v>
      </c>
      <c r="D18" s="70">
        <v>16.0</v>
      </c>
      <c r="E18" s="70" t="s">
        <v>239</v>
      </c>
      <c r="F18" s="70" t="s">
        <v>240</v>
      </c>
      <c r="G18" s="70" t="s">
        <v>223</v>
      </c>
      <c r="H18" s="70" t="s">
        <v>224</v>
      </c>
      <c r="I18" s="70">
        <v>0.1</v>
      </c>
      <c r="J18" s="70">
        <v>0.0</v>
      </c>
      <c r="K18" s="70" t="s">
        <v>237</v>
      </c>
      <c r="L18" s="71">
        <f t="shared" ref="L18:L19" si="16">IF(H18="NO", J18, (-(2^(D18-1))+J18)*I18)</f>
        <v>-3276.8</v>
      </c>
      <c r="M18" s="71">
        <f t="shared" ref="M18:M19" si="17">IF(H18="NO",(((2^D18)-1+J18)*I18),(((2^(D18-1))-1+J18)*I18))</f>
        <v>3276.7</v>
      </c>
      <c r="N18" s="72">
        <f t="shared" ref="N18:N19" si="18">(M18-L18)/(2^D18)</f>
        <v>0.09999847412</v>
      </c>
      <c r="O18" s="7" t="s">
        <v>241</v>
      </c>
    </row>
    <row r="19">
      <c r="A19" s="73"/>
      <c r="B19" s="74"/>
      <c r="C19" s="75">
        <v>16.0</v>
      </c>
      <c r="D19" s="74"/>
      <c r="E19" s="74"/>
      <c r="F19" s="74"/>
      <c r="G19" s="75"/>
      <c r="H19" s="75"/>
      <c r="I19" s="74"/>
      <c r="J19" s="74"/>
      <c r="K19" s="74"/>
      <c r="L19" s="74">
        <f t="shared" si="16"/>
        <v>0</v>
      </c>
      <c r="M19" s="74">
        <f t="shared" si="17"/>
        <v>0</v>
      </c>
      <c r="N19" s="76">
        <f t="shared" si="18"/>
        <v>0</v>
      </c>
    </row>
    <row r="20">
      <c r="A20" s="77"/>
      <c r="B20" s="78"/>
      <c r="C20" s="78"/>
      <c r="D20" s="78"/>
      <c r="E20" s="78"/>
      <c r="F20" s="78"/>
      <c r="G20" s="78"/>
      <c r="H20" s="78"/>
      <c r="I20" s="78"/>
      <c r="J20" s="78"/>
      <c r="K20" s="78"/>
      <c r="L20" s="79"/>
      <c r="M20" s="79"/>
      <c r="N20" s="80"/>
    </row>
    <row r="21">
      <c r="A21" s="69" t="s">
        <v>36</v>
      </c>
      <c r="B21" s="70">
        <v>8.0</v>
      </c>
      <c r="C21" s="70">
        <v>0.0</v>
      </c>
      <c r="D21" s="70">
        <v>1.0</v>
      </c>
      <c r="E21" s="70" t="s">
        <v>242</v>
      </c>
      <c r="F21" s="70" t="s">
        <v>243</v>
      </c>
      <c r="G21" s="70" t="s">
        <v>223</v>
      </c>
      <c r="H21" s="70" t="s">
        <v>244</v>
      </c>
      <c r="I21" s="70">
        <v>1.0</v>
      </c>
      <c r="J21" s="70">
        <v>0.0</v>
      </c>
      <c r="K21" s="70"/>
      <c r="L21" s="71">
        <f t="shared" ref="L21:L26" si="19">IF(H21="NO", J21, (-(2^(D21-1))+J21)*I21)</f>
        <v>0</v>
      </c>
      <c r="M21" s="71">
        <f t="shared" ref="M21:M26" si="20">IF(H21="NO",(((2^D21)-1+J21)*I21),(((2^(D21-1))-1+J21)*I21))</f>
        <v>1</v>
      </c>
      <c r="N21" s="72">
        <f t="shared" ref="N21:N26" si="21">(M21-L21)/(2^D21)</f>
        <v>0.5</v>
      </c>
    </row>
    <row r="22">
      <c r="A22" s="81"/>
      <c r="B22" s="82"/>
      <c r="C22" s="83">
        <v>1.0</v>
      </c>
      <c r="D22" s="83">
        <v>1.0</v>
      </c>
      <c r="E22" s="83" t="s">
        <v>245</v>
      </c>
      <c r="F22" s="83" t="s">
        <v>246</v>
      </c>
      <c r="G22" s="83" t="s">
        <v>223</v>
      </c>
      <c r="H22" s="83" t="s">
        <v>244</v>
      </c>
      <c r="I22" s="83">
        <v>1.0</v>
      </c>
      <c r="J22" s="83">
        <v>0.0</v>
      </c>
      <c r="K22" s="83"/>
      <c r="L22" s="82">
        <f t="shared" si="19"/>
        <v>0</v>
      </c>
      <c r="M22" s="82">
        <f t="shared" si="20"/>
        <v>1</v>
      </c>
      <c r="N22" s="84">
        <f t="shared" si="21"/>
        <v>0.5</v>
      </c>
    </row>
    <row r="23">
      <c r="A23" s="81"/>
      <c r="B23" s="82"/>
      <c r="C23" s="83">
        <v>2.0</v>
      </c>
      <c r="D23" s="83">
        <v>1.0</v>
      </c>
      <c r="E23" s="83" t="s">
        <v>247</v>
      </c>
      <c r="F23" s="83" t="s">
        <v>248</v>
      </c>
      <c r="G23" s="83" t="s">
        <v>223</v>
      </c>
      <c r="H23" s="83" t="s">
        <v>244</v>
      </c>
      <c r="I23" s="83">
        <v>1.0</v>
      </c>
      <c r="J23" s="83">
        <v>0.0</v>
      </c>
      <c r="K23" s="83"/>
      <c r="L23" s="82">
        <f t="shared" si="19"/>
        <v>0</v>
      </c>
      <c r="M23" s="82">
        <f t="shared" si="20"/>
        <v>1</v>
      </c>
      <c r="N23" s="84">
        <f t="shared" si="21"/>
        <v>0.5</v>
      </c>
    </row>
    <row r="24">
      <c r="A24" s="81"/>
      <c r="B24" s="82"/>
      <c r="C24" s="83">
        <v>3.0</v>
      </c>
      <c r="D24" s="83">
        <v>1.0</v>
      </c>
      <c r="E24" s="83" t="s">
        <v>249</v>
      </c>
      <c r="F24" s="83" t="s">
        <v>250</v>
      </c>
      <c r="G24" s="83" t="s">
        <v>223</v>
      </c>
      <c r="H24" s="83" t="s">
        <v>244</v>
      </c>
      <c r="I24" s="83">
        <v>1.0</v>
      </c>
      <c r="J24" s="83">
        <v>0.0</v>
      </c>
      <c r="K24" s="83"/>
      <c r="L24" s="82">
        <f t="shared" si="19"/>
        <v>0</v>
      </c>
      <c r="M24" s="82">
        <f t="shared" si="20"/>
        <v>1</v>
      </c>
      <c r="N24" s="84">
        <f t="shared" si="21"/>
        <v>0.5</v>
      </c>
    </row>
    <row r="25">
      <c r="A25" s="81"/>
      <c r="B25" s="82"/>
      <c r="C25" s="83">
        <v>4.0</v>
      </c>
      <c r="D25" s="83">
        <v>60.0</v>
      </c>
      <c r="E25" s="83" t="s">
        <v>251</v>
      </c>
      <c r="F25" s="83" t="s">
        <v>252</v>
      </c>
      <c r="G25" s="83" t="s">
        <v>223</v>
      </c>
      <c r="H25" s="83" t="s">
        <v>224</v>
      </c>
      <c r="I25" s="82"/>
      <c r="J25" s="82"/>
      <c r="K25" s="82"/>
      <c r="L25" s="82">
        <f t="shared" si="19"/>
        <v>0</v>
      </c>
      <c r="M25" s="82">
        <f t="shared" si="20"/>
        <v>0</v>
      </c>
      <c r="N25" s="84">
        <f t="shared" si="21"/>
        <v>0</v>
      </c>
    </row>
    <row r="26">
      <c r="A26" s="73"/>
      <c r="B26" s="74"/>
      <c r="C26" s="75">
        <v>64.0</v>
      </c>
      <c r="D26" s="74"/>
      <c r="E26" s="74"/>
      <c r="F26" s="74"/>
      <c r="G26" s="75"/>
      <c r="H26" s="75"/>
      <c r="I26" s="74"/>
      <c r="J26" s="74"/>
      <c r="K26" s="74"/>
      <c r="L26" s="74">
        <f t="shared" si="19"/>
        <v>0</v>
      </c>
      <c r="M26" s="74">
        <f t="shared" si="20"/>
        <v>0</v>
      </c>
      <c r="N26" s="76">
        <f t="shared" si="21"/>
        <v>0</v>
      </c>
    </row>
    <row r="27">
      <c r="A27" s="77"/>
      <c r="B27" s="78"/>
      <c r="C27" s="78"/>
      <c r="D27" s="78"/>
      <c r="E27" s="78"/>
      <c r="F27" s="78"/>
      <c r="G27" s="78"/>
      <c r="H27" s="78"/>
      <c r="I27" s="78"/>
      <c r="J27" s="78"/>
      <c r="K27" s="78"/>
      <c r="L27" s="79"/>
      <c r="M27" s="79"/>
      <c r="N27" s="80"/>
    </row>
    <row r="28">
      <c r="A28" s="69" t="s">
        <v>39</v>
      </c>
      <c r="B28" s="70">
        <v>8.0</v>
      </c>
      <c r="C28" s="70">
        <v>8.0</v>
      </c>
      <c r="D28" s="70">
        <v>16.0</v>
      </c>
      <c r="E28" s="70" t="s">
        <v>253</v>
      </c>
      <c r="F28" s="70" t="s">
        <v>254</v>
      </c>
      <c r="G28" s="70" t="s">
        <v>223</v>
      </c>
      <c r="H28" s="70" t="s">
        <v>224</v>
      </c>
      <c r="I28" s="70">
        <v>0.1</v>
      </c>
      <c r="J28" s="70">
        <v>0.0</v>
      </c>
      <c r="K28" s="70" t="s">
        <v>255</v>
      </c>
      <c r="L28" s="71">
        <f t="shared" ref="L28:L30" si="22">IF(H28="NO", J28, (-(2^(D28-1))+J28)*I28)</f>
        <v>-3276.8</v>
      </c>
      <c r="M28" s="71">
        <f t="shared" ref="M28:M30" si="23">IF(H28="NO",(((2^D28)-1+J28)*I28),(((2^(D28-1))-1+J28)*I28))</f>
        <v>3276.7</v>
      </c>
      <c r="N28" s="72">
        <f t="shared" ref="N28:N30" si="24">(M28-L28)/(2^D28)</f>
        <v>0.09999847412</v>
      </c>
    </row>
    <row r="29">
      <c r="A29" s="81"/>
      <c r="B29" s="82"/>
      <c r="C29" s="83">
        <v>24.0</v>
      </c>
      <c r="D29" s="83">
        <v>48.0</v>
      </c>
      <c r="E29" s="83" t="s">
        <v>251</v>
      </c>
      <c r="F29" s="83" t="s">
        <v>256</v>
      </c>
      <c r="G29" s="83" t="s">
        <v>223</v>
      </c>
      <c r="H29" s="83" t="s">
        <v>224</v>
      </c>
      <c r="I29" s="82"/>
      <c r="J29" s="82"/>
      <c r="K29" s="82"/>
      <c r="L29" s="82">
        <f t="shared" si="22"/>
        <v>0</v>
      </c>
      <c r="M29" s="82">
        <f t="shared" si="23"/>
        <v>0</v>
      </c>
      <c r="N29" s="84">
        <f t="shared" si="24"/>
        <v>0</v>
      </c>
    </row>
    <row r="30">
      <c r="A30" s="73"/>
      <c r="B30" s="74"/>
      <c r="C30" s="75">
        <v>64.0</v>
      </c>
      <c r="D30" s="74"/>
      <c r="E30" s="74"/>
      <c r="F30" s="74"/>
      <c r="G30" s="75"/>
      <c r="H30" s="75"/>
      <c r="I30" s="74"/>
      <c r="J30" s="74"/>
      <c r="K30" s="74"/>
      <c r="L30" s="74">
        <f t="shared" si="22"/>
        <v>0</v>
      </c>
      <c r="M30" s="74">
        <f t="shared" si="23"/>
        <v>0</v>
      </c>
      <c r="N30" s="76">
        <f t="shared" si="24"/>
        <v>0</v>
      </c>
    </row>
    <row r="31">
      <c r="A31" s="77"/>
      <c r="B31" s="78"/>
      <c r="C31" s="78"/>
      <c r="D31" s="78"/>
      <c r="E31" s="78"/>
      <c r="F31" s="78"/>
      <c r="G31" s="78"/>
      <c r="H31" s="78"/>
      <c r="I31" s="78"/>
      <c r="J31" s="78"/>
      <c r="K31" s="78"/>
      <c r="L31" s="79"/>
      <c r="M31" s="79"/>
      <c r="N31" s="80"/>
    </row>
    <row r="32">
      <c r="A32" s="69" t="s">
        <v>42</v>
      </c>
      <c r="B32" s="70">
        <v>2.0</v>
      </c>
      <c r="C32" s="70">
        <v>8.0</v>
      </c>
      <c r="D32" s="70">
        <v>16.0</v>
      </c>
      <c r="E32" s="70" t="s">
        <v>257</v>
      </c>
      <c r="F32" s="70" t="s">
        <v>258</v>
      </c>
      <c r="G32" s="70" t="s">
        <v>223</v>
      </c>
      <c r="H32" s="70" t="s">
        <v>224</v>
      </c>
      <c r="I32" s="70">
        <v>0.1</v>
      </c>
      <c r="J32" s="70">
        <v>0.0</v>
      </c>
      <c r="K32" s="70" t="s">
        <v>259</v>
      </c>
      <c r="L32" s="71">
        <f t="shared" ref="L32:L33" si="25">IF(H32="NO", J32, (-(2^(D32-1))+J32)*I32)</f>
        <v>-3276.8</v>
      </c>
      <c r="M32" s="71">
        <f t="shared" ref="M32:M33" si="26">IF(H32="NO",(((2^D32)-1+J32)*I32),(((2^(D32-1))-1+J32)*I32))</f>
        <v>3276.7</v>
      </c>
      <c r="N32" s="72">
        <f t="shared" ref="N32:N33" si="27">(M32-L32)/(2^D32)</f>
        <v>0.09999847412</v>
      </c>
    </row>
    <row r="33">
      <c r="A33" s="73"/>
      <c r="B33" s="74"/>
      <c r="C33" s="75">
        <v>16.0</v>
      </c>
      <c r="D33" s="74"/>
      <c r="E33" s="74"/>
      <c r="F33" s="74"/>
      <c r="G33" s="75"/>
      <c r="H33" s="75"/>
      <c r="I33" s="74"/>
      <c r="J33" s="74"/>
      <c r="K33" s="74"/>
      <c r="L33" s="74">
        <f t="shared" si="25"/>
        <v>0</v>
      </c>
      <c r="M33" s="74">
        <f t="shared" si="26"/>
        <v>0</v>
      </c>
      <c r="N33" s="76">
        <f t="shared" si="27"/>
        <v>0</v>
      </c>
    </row>
    <row r="34">
      <c r="A34" s="77"/>
      <c r="B34" s="78"/>
      <c r="C34" s="78"/>
      <c r="D34" s="78"/>
      <c r="E34" s="78"/>
      <c r="F34" s="78"/>
      <c r="G34" s="78"/>
      <c r="H34" s="78"/>
      <c r="I34" s="78"/>
      <c r="J34" s="78"/>
      <c r="K34" s="78"/>
      <c r="L34" s="79"/>
      <c r="M34" s="79"/>
      <c r="N34" s="80"/>
    </row>
    <row r="35">
      <c r="A35" s="69" t="s">
        <v>45</v>
      </c>
      <c r="B35" s="70">
        <v>2.0</v>
      </c>
      <c r="C35" s="70">
        <v>8.0</v>
      </c>
      <c r="D35" s="70">
        <v>16.0</v>
      </c>
      <c r="E35" s="70" t="s">
        <v>260</v>
      </c>
      <c r="F35" s="70" t="s">
        <v>261</v>
      </c>
      <c r="G35" s="70" t="s">
        <v>223</v>
      </c>
      <c r="H35" s="70" t="s">
        <v>224</v>
      </c>
      <c r="I35" s="70">
        <v>0.1</v>
      </c>
      <c r="J35" s="70">
        <v>0.0</v>
      </c>
      <c r="K35" s="70" t="s">
        <v>262</v>
      </c>
      <c r="L35" s="71">
        <f t="shared" ref="L35:L36" si="28">IF(H35="NO", J35, (-(2^(D35-1))+J35)*I35)</f>
        <v>-3276.8</v>
      </c>
      <c r="M35" s="71">
        <f t="shared" ref="M35:M36" si="29">IF(H35="NO",(((2^D35)-1+J35)*I35),(((2^(D35-1))-1+J35)*I35))</f>
        <v>3276.7</v>
      </c>
      <c r="N35" s="72">
        <f t="shared" ref="N35:N36" si="30">(M35-L35)/(2^D35)</f>
        <v>0.09999847412</v>
      </c>
    </row>
    <row r="36">
      <c r="A36" s="73"/>
      <c r="B36" s="74"/>
      <c r="C36" s="75">
        <v>24.0</v>
      </c>
      <c r="D36" s="74"/>
      <c r="E36" s="74"/>
      <c r="F36" s="74"/>
      <c r="G36" s="75"/>
      <c r="H36" s="75"/>
      <c r="I36" s="74"/>
      <c r="J36" s="74"/>
      <c r="K36" s="74"/>
      <c r="L36" s="74">
        <f t="shared" si="28"/>
        <v>0</v>
      </c>
      <c r="M36" s="74">
        <f t="shared" si="29"/>
        <v>0</v>
      </c>
      <c r="N36" s="76">
        <f t="shared" si="30"/>
        <v>0</v>
      </c>
    </row>
    <row r="37">
      <c r="A37" s="77"/>
      <c r="B37" s="78"/>
      <c r="C37" s="78"/>
      <c r="D37" s="78"/>
      <c r="E37" s="78"/>
      <c r="F37" s="85"/>
      <c r="G37" s="78"/>
      <c r="H37" s="78"/>
      <c r="I37" s="78"/>
      <c r="J37" s="78"/>
      <c r="K37" s="78"/>
      <c r="L37" s="79"/>
      <c r="M37" s="79"/>
      <c r="N37" s="80"/>
    </row>
    <row r="38">
      <c r="A38" s="69" t="s">
        <v>48</v>
      </c>
      <c r="B38" s="70">
        <v>2.0</v>
      </c>
      <c r="C38" s="70">
        <v>8.0</v>
      </c>
      <c r="D38" s="70">
        <v>16.0</v>
      </c>
      <c r="E38" s="70" t="s">
        <v>263</v>
      </c>
      <c r="F38" s="86" t="s">
        <v>264</v>
      </c>
      <c r="G38" s="70" t="s">
        <v>223</v>
      </c>
      <c r="H38" s="70" t="s">
        <v>224</v>
      </c>
      <c r="I38" s="70">
        <v>0.1</v>
      </c>
      <c r="J38" s="70">
        <v>0.0</v>
      </c>
      <c r="K38" s="70" t="s">
        <v>237</v>
      </c>
      <c r="L38" s="71">
        <f t="shared" ref="L38:L39" si="31">IF(H38="NO", J38, (-(2^(D38-1))+J38)*I38)</f>
        <v>-3276.8</v>
      </c>
      <c r="M38" s="71">
        <f t="shared" ref="M38:M39" si="32">IF(H38="NO",(((2^D38)-1+J38)*I38),(((2^(D38-1))-1+J38)*I38))</f>
        <v>3276.7</v>
      </c>
      <c r="N38" s="72">
        <f t="shared" ref="N38:N39" si="33">(M38-L38)/(2^D38)</f>
        <v>0.09999847412</v>
      </c>
    </row>
    <row r="39">
      <c r="A39" s="73"/>
      <c r="B39" s="74"/>
      <c r="C39" s="75">
        <v>24.0</v>
      </c>
      <c r="D39" s="74"/>
      <c r="E39" s="74"/>
      <c r="F39" s="74"/>
      <c r="G39" s="75"/>
      <c r="H39" s="75"/>
      <c r="I39" s="74"/>
      <c r="J39" s="74"/>
      <c r="K39" s="74"/>
      <c r="L39" s="74">
        <f t="shared" si="31"/>
        <v>0</v>
      </c>
      <c r="M39" s="74">
        <f t="shared" si="32"/>
        <v>0</v>
      </c>
      <c r="N39" s="76">
        <f t="shared" si="33"/>
        <v>0</v>
      </c>
    </row>
    <row r="40">
      <c r="A40" s="77"/>
      <c r="B40" s="78"/>
      <c r="C40" s="78"/>
      <c r="D40" s="78"/>
      <c r="E40" s="78"/>
      <c r="F40" s="78"/>
      <c r="G40" s="78"/>
      <c r="H40" s="78"/>
      <c r="I40" s="78"/>
      <c r="J40" s="78"/>
      <c r="K40" s="78"/>
      <c r="L40" s="79"/>
      <c r="M40" s="79"/>
      <c r="N40" s="80"/>
    </row>
    <row r="41">
      <c r="A41" s="69" t="s">
        <v>63</v>
      </c>
      <c r="B41" s="70">
        <v>1.0</v>
      </c>
      <c r="C41" s="70">
        <v>0.0</v>
      </c>
      <c r="D41" s="70">
        <v>1.0</v>
      </c>
      <c r="E41" s="70" t="s">
        <v>265</v>
      </c>
      <c r="F41" s="70" t="s">
        <v>266</v>
      </c>
      <c r="G41" s="70" t="s">
        <v>223</v>
      </c>
      <c r="H41" s="70" t="s">
        <v>244</v>
      </c>
      <c r="I41" s="70">
        <v>1.0</v>
      </c>
      <c r="J41" s="70">
        <v>0.0</v>
      </c>
      <c r="K41" s="70"/>
      <c r="L41" s="71">
        <f t="shared" ref="L41:L43" si="34">IF(H41="NO", J41, (-(2^(D41-1))+J41)*I41)</f>
        <v>0</v>
      </c>
      <c r="M41" s="71">
        <f t="shared" ref="M41:M43" si="35">IF(H41="NO",(((2^D41)-1+J41)*I41),(((2^(D41-1))-1+J41)*I41))</f>
        <v>1</v>
      </c>
      <c r="N41" s="72">
        <f t="shared" ref="N41:N43" si="36">(M41-L41)/(2^D41)</f>
        <v>0.5</v>
      </c>
    </row>
    <row r="42">
      <c r="A42" s="81"/>
      <c r="B42" s="82"/>
      <c r="C42" s="83">
        <v>1.0</v>
      </c>
      <c r="D42" s="83">
        <v>7.0</v>
      </c>
      <c r="E42" s="83" t="s">
        <v>251</v>
      </c>
      <c r="F42" s="83"/>
      <c r="G42" s="83" t="s">
        <v>223</v>
      </c>
      <c r="H42" s="75"/>
      <c r="I42" s="82"/>
      <c r="J42" s="82"/>
      <c r="K42" s="82"/>
      <c r="L42" s="82">
        <f t="shared" si="34"/>
        <v>0</v>
      </c>
      <c r="M42" s="82">
        <f t="shared" si="35"/>
        <v>0</v>
      </c>
      <c r="N42" s="84">
        <f t="shared" si="36"/>
        <v>0</v>
      </c>
    </row>
    <row r="43">
      <c r="A43" s="73"/>
      <c r="B43" s="74"/>
      <c r="C43" s="75">
        <v>8.0</v>
      </c>
      <c r="D43" s="74"/>
      <c r="E43" s="74"/>
      <c r="F43" s="74"/>
      <c r="G43" s="75"/>
      <c r="H43" s="75"/>
      <c r="I43" s="74"/>
      <c r="J43" s="74"/>
      <c r="K43" s="74"/>
      <c r="L43" s="74">
        <f t="shared" si="34"/>
        <v>0</v>
      </c>
      <c r="M43" s="74">
        <f t="shared" si="35"/>
        <v>0</v>
      </c>
      <c r="N43" s="76">
        <f t="shared" si="36"/>
        <v>0</v>
      </c>
    </row>
    <row r="44">
      <c r="A44" s="87"/>
      <c r="B44" s="79"/>
      <c r="C44" s="78"/>
      <c r="D44" s="79"/>
      <c r="E44" s="79"/>
      <c r="F44" s="79"/>
      <c r="G44" s="79"/>
      <c r="H44" s="88"/>
      <c r="I44" s="79"/>
      <c r="J44" s="79"/>
      <c r="K44" s="79"/>
      <c r="L44" s="79"/>
      <c r="M44" s="79"/>
      <c r="N44" s="80"/>
    </row>
    <row r="45">
      <c r="A45" s="69" t="s">
        <v>114</v>
      </c>
      <c r="B45" s="70">
        <v>2.0</v>
      </c>
      <c r="C45" s="70">
        <v>0.0</v>
      </c>
      <c r="D45" s="70">
        <v>1.0</v>
      </c>
      <c r="E45" s="70" t="s">
        <v>267</v>
      </c>
      <c r="F45" s="70" t="s">
        <v>268</v>
      </c>
      <c r="G45" s="70" t="s">
        <v>223</v>
      </c>
      <c r="H45" s="70" t="s">
        <v>244</v>
      </c>
      <c r="I45" s="70">
        <v>1.0</v>
      </c>
      <c r="J45" s="70">
        <v>0.0</v>
      </c>
      <c r="K45" s="71"/>
      <c r="L45" s="71">
        <f t="shared" ref="L45:L49" si="37">IF(H45="NO", J45, (-(2^(D45-1))+J45)*I45)</f>
        <v>0</v>
      </c>
      <c r="M45" s="71">
        <f t="shared" ref="M45:M49" si="38">IF(H45="NO",(((2^D45)-1+J45)*I45),(((2^(D45-1))-1+J45)*I45))</f>
        <v>1</v>
      </c>
      <c r="N45" s="72">
        <f t="shared" ref="N45:N49" si="39">(M45-L45)/(2^D45)</f>
        <v>0.5</v>
      </c>
    </row>
    <row r="46">
      <c r="A46" s="81"/>
      <c r="B46" s="82"/>
      <c r="C46" s="83">
        <f t="shared" ref="C46:C49" si="40">C45+D45</f>
        <v>1</v>
      </c>
      <c r="D46" s="83">
        <v>1.0</v>
      </c>
      <c r="E46" s="83" t="s">
        <v>269</v>
      </c>
      <c r="F46" s="83" t="s">
        <v>270</v>
      </c>
      <c r="G46" s="83" t="s">
        <v>223</v>
      </c>
      <c r="H46" s="83" t="s">
        <v>244</v>
      </c>
      <c r="I46" s="83">
        <v>1.0</v>
      </c>
      <c r="J46" s="83">
        <v>0.0</v>
      </c>
      <c r="K46" s="82"/>
      <c r="L46" s="82">
        <f t="shared" si="37"/>
        <v>0</v>
      </c>
      <c r="M46" s="82">
        <f t="shared" si="38"/>
        <v>1</v>
      </c>
      <c r="N46" s="84">
        <f t="shared" si="39"/>
        <v>0.5</v>
      </c>
    </row>
    <row r="47">
      <c r="A47" s="81"/>
      <c r="B47" s="82"/>
      <c r="C47" s="83">
        <f t="shared" si="40"/>
        <v>2</v>
      </c>
      <c r="D47" s="83">
        <v>1.0</v>
      </c>
      <c r="E47" s="83" t="s">
        <v>271</v>
      </c>
      <c r="F47" s="83" t="s">
        <v>272</v>
      </c>
      <c r="G47" s="83" t="s">
        <v>223</v>
      </c>
      <c r="H47" s="83" t="s">
        <v>244</v>
      </c>
      <c r="I47" s="83">
        <v>1.0</v>
      </c>
      <c r="J47" s="83">
        <v>0.0</v>
      </c>
      <c r="K47" s="82"/>
      <c r="L47" s="82">
        <f t="shared" si="37"/>
        <v>0</v>
      </c>
      <c r="M47" s="82">
        <f t="shared" si="38"/>
        <v>1</v>
      </c>
      <c r="N47" s="84">
        <f t="shared" si="39"/>
        <v>0.5</v>
      </c>
    </row>
    <row r="48">
      <c r="A48" s="81"/>
      <c r="B48" s="82"/>
      <c r="C48" s="83">
        <f t="shared" si="40"/>
        <v>3</v>
      </c>
      <c r="D48" s="82">
        <f>16-3</f>
        <v>13</v>
      </c>
      <c r="E48" s="83" t="s">
        <v>273</v>
      </c>
      <c r="F48" s="82"/>
      <c r="G48" s="83" t="s">
        <v>223</v>
      </c>
      <c r="H48" s="83" t="s">
        <v>244</v>
      </c>
      <c r="I48" s="82"/>
      <c r="J48" s="83">
        <v>0.0</v>
      </c>
      <c r="K48" s="82"/>
      <c r="L48" s="82">
        <f t="shared" si="37"/>
        <v>0</v>
      </c>
      <c r="M48" s="82">
        <f t="shared" si="38"/>
        <v>0</v>
      </c>
      <c r="N48" s="84">
        <f t="shared" si="39"/>
        <v>0</v>
      </c>
    </row>
    <row r="49">
      <c r="A49" s="73"/>
      <c r="B49" s="74"/>
      <c r="C49" s="75">
        <f t="shared" si="40"/>
        <v>16</v>
      </c>
      <c r="D49" s="74"/>
      <c r="E49" s="74"/>
      <c r="F49" s="74"/>
      <c r="G49" s="75"/>
      <c r="H49" s="75"/>
      <c r="I49" s="74"/>
      <c r="J49" s="75">
        <v>0.0</v>
      </c>
      <c r="K49" s="74"/>
      <c r="L49" s="74">
        <f t="shared" si="37"/>
        <v>0</v>
      </c>
      <c r="M49" s="74">
        <f t="shared" si="38"/>
        <v>0</v>
      </c>
      <c r="N49" s="76">
        <f t="shared" si="39"/>
        <v>0</v>
      </c>
    </row>
    <row r="50">
      <c r="A50" s="87"/>
      <c r="B50" s="79"/>
      <c r="C50" s="78"/>
      <c r="D50" s="79"/>
      <c r="E50" s="79"/>
      <c r="F50" s="79"/>
      <c r="G50" s="79"/>
      <c r="H50" s="89"/>
      <c r="I50" s="79"/>
      <c r="J50" s="78"/>
      <c r="K50" s="79"/>
      <c r="L50" s="79"/>
      <c r="M50" s="79"/>
      <c r="N50" s="80"/>
    </row>
    <row r="51">
      <c r="A51" s="69" t="s">
        <v>155</v>
      </c>
      <c r="B51" s="70">
        <v>8.0</v>
      </c>
      <c r="C51" s="70">
        <v>0.0</v>
      </c>
      <c r="D51" s="70">
        <v>32.0</v>
      </c>
      <c r="E51" s="70" t="s">
        <v>231</v>
      </c>
      <c r="F51" s="70" t="s">
        <v>274</v>
      </c>
      <c r="G51" s="70" t="s">
        <v>223</v>
      </c>
      <c r="H51" s="70" t="s">
        <v>224</v>
      </c>
      <c r="I51" s="70">
        <v>1.0</v>
      </c>
      <c r="J51" s="70">
        <v>0.0</v>
      </c>
      <c r="K51" s="70" t="s">
        <v>231</v>
      </c>
      <c r="L51" s="71">
        <f t="shared" ref="L51:L54" si="41">IF(H51="NO", J51, (-(2^(D51-1))+J51)*I51)</f>
        <v>-2147483648</v>
      </c>
      <c r="M51" s="71">
        <f t="shared" ref="M51:M53" si="42">IF(H51="NO",(((2^D51)-1+J51)*I51),(((2^(D51-1))-1+J51)*I51))</f>
        <v>2147483647</v>
      </c>
      <c r="N51" s="72">
        <f t="shared" ref="N51:N54" si="43">(M51-L51)/(2^D51)</f>
        <v>0.9999999998</v>
      </c>
    </row>
    <row r="52">
      <c r="A52" s="81"/>
      <c r="B52" s="82"/>
      <c r="C52" s="83">
        <v>32.0</v>
      </c>
      <c r="D52" s="83">
        <v>16.0</v>
      </c>
      <c r="E52" s="83" t="s">
        <v>275</v>
      </c>
      <c r="F52" s="83" t="s">
        <v>276</v>
      </c>
      <c r="G52" s="83" t="s">
        <v>223</v>
      </c>
      <c r="H52" s="83" t="s">
        <v>224</v>
      </c>
      <c r="I52" s="83">
        <v>0.1</v>
      </c>
      <c r="J52" s="83">
        <v>0.0</v>
      </c>
      <c r="K52" s="83" t="s">
        <v>237</v>
      </c>
      <c r="L52" s="82">
        <f t="shared" si="41"/>
        <v>-3276.8</v>
      </c>
      <c r="M52" s="82">
        <f t="shared" si="42"/>
        <v>3276.7</v>
      </c>
      <c r="N52" s="84">
        <f t="shared" si="43"/>
        <v>0.09999847412</v>
      </c>
    </row>
    <row r="53">
      <c r="A53" s="81"/>
      <c r="B53" s="82"/>
      <c r="C53" s="83">
        <v>48.0</v>
      </c>
      <c r="D53" s="82">
        <f>64-C53</f>
        <v>16</v>
      </c>
      <c r="E53" s="83" t="s">
        <v>277</v>
      </c>
      <c r="F53" s="83" t="s">
        <v>278</v>
      </c>
      <c r="G53" s="83" t="s">
        <v>223</v>
      </c>
      <c r="H53" s="83" t="s">
        <v>224</v>
      </c>
      <c r="I53" s="83">
        <v>1.0</v>
      </c>
      <c r="J53" s="83">
        <v>0.0</v>
      </c>
      <c r="K53" s="83" t="s">
        <v>279</v>
      </c>
      <c r="L53" s="82">
        <f t="shared" si="41"/>
        <v>-32768</v>
      </c>
      <c r="M53" s="82">
        <f t="shared" si="42"/>
        <v>32767</v>
      </c>
      <c r="N53" s="84">
        <f t="shared" si="43"/>
        <v>0.9999847412</v>
      </c>
    </row>
    <row r="54">
      <c r="A54" s="90"/>
      <c r="B54" s="75"/>
      <c r="C54" s="75">
        <v>64.0</v>
      </c>
      <c r="D54" s="75"/>
      <c r="E54" s="75"/>
      <c r="F54" s="75"/>
      <c r="G54" s="75"/>
      <c r="H54" s="75"/>
      <c r="I54" s="74"/>
      <c r="J54" s="74"/>
      <c r="K54" s="74"/>
      <c r="L54" s="74">
        <f t="shared" si="41"/>
        <v>0</v>
      </c>
      <c r="M54" s="74"/>
      <c r="N54" s="76">
        <f t="shared" si="43"/>
        <v>0</v>
      </c>
    </row>
    <row r="55">
      <c r="A55" s="91"/>
      <c r="B55" s="92"/>
      <c r="C55" s="92"/>
      <c r="D55" s="92"/>
      <c r="E55" s="92"/>
      <c r="F55" s="92"/>
      <c r="G55" s="92"/>
      <c r="H55" s="92"/>
      <c r="I55" s="88"/>
      <c r="J55" s="88"/>
      <c r="K55" s="88"/>
      <c r="L55" s="88"/>
      <c r="M55" s="88"/>
      <c r="N55" s="93"/>
    </row>
    <row r="56">
      <c r="A56" s="69" t="s">
        <v>158</v>
      </c>
      <c r="B56" s="70">
        <v>8.0</v>
      </c>
      <c r="C56" s="70">
        <v>0.0</v>
      </c>
      <c r="D56" s="70">
        <v>16.0</v>
      </c>
      <c r="E56" s="70" t="s">
        <v>280</v>
      </c>
      <c r="F56" s="70" t="s">
        <v>281</v>
      </c>
      <c r="G56" s="70" t="s">
        <v>223</v>
      </c>
      <c r="H56" s="70" t="s">
        <v>224</v>
      </c>
      <c r="I56" s="70">
        <v>0.1</v>
      </c>
      <c r="J56" s="70">
        <v>0.0</v>
      </c>
      <c r="K56" s="70" t="s">
        <v>282</v>
      </c>
      <c r="L56" s="71">
        <f t="shared" ref="L56:L59" si="44">IF(H56="NO", J56, (-(2^(D56-1))+J56)*I56)</f>
        <v>-3276.8</v>
      </c>
      <c r="M56" s="71">
        <f t="shared" ref="M56:M59" si="45">IF(H56="NO",(((2^D56)-1+J56)*I56),(((2^(D56-1))-1+J56)*I56))</f>
        <v>3276.7</v>
      </c>
      <c r="N56" s="72">
        <f t="shared" ref="N56:N59" si="46">(M56-L56)/(2^D56)</f>
        <v>0.09999847412</v>
      </c>
    </row>
    <row r="57">
      <c r="A57" s="81"/>
      <c r="B57" s="82"/>
      <c r="C57" s="83">
        <v>16.0</v>
      </c>
      <c r="D57" s="83">
        <v>16.0</v>
      </c>
      <c r="E57" s="83" t="s">
        <v>283</v>
      </c>
      <c r="F57" s="83" t="s">
        <v>284</v>
      </c>
      <c r="G57" s="83" t="s">
        <v>223</v>
      </c>
      <c r="H57" s="83" t="s">
        <v>224</v>
      </c>
      <c r="I57" s="83">
        <v>0.1</v>
      </c>
      <c r="J57" s="83">
        <v>0.0</v>
      </c>
      <c r="K57" s="83" t="s">
        <v>285</v>
      </c>
      <c r="L57" s="82">
        <f t="shared" si="44"/>
        <v>-3276.8</v>
      </c>
      <c r="M57" s="82">
        <f t="shared" si="45"/>
        <v>3276.7</v>
      </c>
      <c r="N57" s="84">
        <f t="shared" si="46"/>
        <v>0.09999847412</v>
      </c>
    </row>
    <row r="58">
      <c r="A58" s="81"/>
      <c r="B58" s="82"/>
      <c r="C58" s="83">
        <v>32.0</v>
      </c>
      <c r="D58" s="82">
        <f>64-C58</f>
        <v>32</v>
      </c>
      <c r="E58" s="83" t="s">
        <v>251</v>
      </c>
      <c r="F58" s="83" t="s">
        <v>286</v>
      </c>
      <c r="G58" s="83" t="s">
        <v>223</v>
      </c>
      <c r="H58" s="83" t="s">
        <v>244</v>
      </c>
      <c r="I58" s="82"/>
      <c r="J58" s="83">
        <v>0.0</v>
      </c>
      <c r="K58" s="83" t="s">
        <v>287</v>
      </c>
      <c r="L58" s="82">
        <f t="shared" si="44"/>
        <v>0</v>
      </c>
      <c r="M58" s="82">
        <f t="shared" si="45"/>
        <v>0</v>
      </c>
      <c r="N58" s="84">
        <f t="shared" si="46"/>
        <v>0</v>
      </c>
    </row>
    <row r="59">
      <c r="A59" s="73"/>
      <c r="B59" s="74"/>
      <c r="C59" s="75">
        <v>64.0</v>
      </c>
      <c r="D59" s="74"/>
      <c r="E59" s="74"/>
      <c r="F59" s="74"/>
      <c r="G59" s="75"/>
      <c r="H59" s="75"/>
      <c r="I59" s="74"/>
      <c r="J59" s="74"/>
      <c r="K59" s="74"/>
      <c r="L59" s="74">
        <f t="shared" si="44"/>
        <v>0</v>
      </c>
      <c r="M59" s="74">
        <f t="shared" si="45"/>
        <v>0</v>
      </c>
      <c r="N59" s="76">
        <f t="shared" si="46"/>
        <v>0</v>
      </c>
    </row>
    <row r="60">
      <c r="A60" s="91"/>
      <c r="B60" s="92"/>
      <c r="C60" s="92"/>
      <c r="D60" s="92"/>
      <c r="E60" s="92"/>
      <c r="F60" s="92"/>
      <c r="G60" s="92"/>
      <c r="H60" s="92"/>
      <c r="I60" s="92"/>
      <c r="J60" s="88"/>
      <c r="K60" s="92"/>
      <c r="L60" s="88"/>
      <c r="M60" s="88"/>
      <c r="N60" s="93"/>
    </row>
    <row r="61">
      <c r="A61" s="69" t="s">
        <v>161</v>
      </c>
      <c r="B61" s="70">
        <v>8.0</v>
      </c>
      <c r="C61" s="70">
        <v>0.0</v>
      </c>
      <c r="D61" s="70">
        <v>16.0</v>
      </c>
      <c r="E61" s="70" t="s">
        <v>288</v>
      </c>
      <c r="F61" s="70" t="s">
        <v>289</v>
      </c>
      <c r="G61" s="70" t="s">
        <v>223</v>
      </c>
      <c r="H61" s="70" t="s">
        <v>224</v>
      </c>
      <c r="I61" s="70">
        <v>0.1</v>
      </c>
      <c r="J61" s="70">
        <v>0.0</v>
      </c>
      <c r="K61" s="70" t="s">
        <v>290</v>
      </c>
      <c r="L61" s="71">
        <f t="shared" ref="L61:L65" si="47">IF(H61="NO", J61, (-(2^(D61-1))+J61)*I61)</f>
        <v>-3276.8</v>
      </c>
      <c r="M61" s="71">
        <f t="shared" ref="M61:M65" si="48">IF(H61="NO",(((2^D61)-1+J61)*I61),(((2^(D61-1))-1+J61)*I61))</f>
        <v>3276.7</v>
      </c>
      <c r="N61" s="72">
        <f t="shared" ref="N61:N65" si="49">(M61-L61)/(2^D61)</f>
        <v>0.09999847412</v>
      </c>
    </row>
    <row r="62">
      <c r="A62" s="81"/>
      <c r="B62" s="82"/>
      <c r="C62" s="83">
        <v>16.0</v>
      </c>
      <c r="D62" s="83">
        <v>16.0</v>
      </c>
      <c r="E62" s="83" t="s">
        <v>291</v>
      </c>
      <c r="F62" s="83" t="s">
        <v>292</v>
      </c>
      <c r="G62" s="83" t="s">
        <v>223</v>
      </c>
      <c r="H62" s="83" t="s">
        <v>224</v>
      </c>
      <c r="I62" s="83">
        <v>0.1</v>
      </c>
      <c r="J62" s="83">
        <v>0.0</v>
      </c>
      <c r="K62" s="83" t="s">
        <v>290</v>
      </c>
      <c r="L62" s="82">
        <f t="shared" si="47"/>
        <v>-3276.8</v>
      </c>
      <c r="M62" s="82">
        <f t="shared" si="48"/>
        <v>3276.7</v>
      </c>
      <c r="N62" s="84">
        <f t="shared" si="49"/>
        <v>0.09999847412</v>
      </c>
    </row>
    <row r="63">
      <c r="A63" s="81"/>
      <c r="B63" s="82"/>
      <c r="C63" s="83">
        <v>32.0</v>
      </c>
      <c r="D63" s="83">
        <v>8.0</v>
      </c>
      <c r="E63" s="83" t="s">
        <v>293</v>
      </c>
      <c r="F63" s="83" t="s">
        <v>294</v>
      </c>
      <c r="G63" s="83" t="s">
        <v>223</v>
      </c>
      <c r="H63" s="83" t="s">
        <v>244</v>
      </c>
      <c r="I63" s="83">
        <v>1.0</v>
      </c>
      <c r="J63" s="83">
        <v>0.0</v>
      </c>
      <c r="K63" s="83" t="s">
        <v>295</v>
      </c>
      <c r="L63" s="82">
        <f t="shared" si="47"/>
        <v>0</v>
      </c>
      <c r="M63" s="82">
        <f t="shared" si="48"/>
        <v>255</v>
      </c>
      <c r="N63" s="84">
        <f t="shared" si="49"/>
        <v>0.99609375</v>
      </c>
    </row>
    <row r="64">
      <c r="A64" s="81"/>
      <c r="B64" s="82"/>
      <c r="C64" s="83">
        <v>40.0</v>
      </c>
      <c r="D64" s="83">
        <v>24.0</v>
      </c>
      <c r="E64" s="83" t="s">
        <v>251</v>
      </c>
      <c r="F64" s="83" t="s">
        <v>286</v>
      </c>
      <c r="G64" s="83" t="s">
        <v>223</v>
      </c>
      <c r="H64" s="83" t="s">
        <v>244</v>
      </c>
      <c r="I64" s="82"/>
      <c r="J64" s="83">
        <v>0.0</v>
      </c>
      <c r="K64" s="83" t="s">
        <v>287</v>
      </c>
      <c r="L64" s="82">
        <f t="shared" si="47"/>
        <v>0</v>
      </c>
      <c r="M64" s="82">
        <f t="shared" si="48"/>
        <v>0</v>
      </c>
      <c r="N64" s="84">
        <f t="shared" si="49"/>
        <v>0</v>
      </c>
    </row>
    <row r="65">
      <c r="A65" s="73"/>
      <c r="B65" s="74"/>
      <c r="C65" s="75">
        <v>64.0</v>
      </c>
      <c r="D65" s="74"/>
      <c r="E65" s="74"/>
      <c r="F65" s="74"/>
      <c r="G65" s="75"/>
      <c r="H65" s="75"/>
      <c r="I65" s="74"/>
      <c r="J65" s="74"/>
      <c r="K65" s="74"/>
      <c r="L65" s="74">
        <f t="shared" si="47"/>
        <v>0</v>
      </c>
      <c r="M65" s="74">
        <f t="shared" si="48"/>
        <v>0</v>
      </c>
      <c r="N65" s="76">
        <f t="shared" si="49"/>
        <v>0</v>
      </c>
    </row>
    <row r="66">
      <c r="A66" s="91"/>
      <c r="B66" s="92"/>
      <c r="C66" s="92"/>
      <c r="D66" s="92"/>
      <c r="E66" s="92"/>
      <c r="F66" s="92"/>
      <c r="G66" s="92"/>
      <c r="H66" s="92"/>
      <c r="I66" s="94"/>
      <c r="J66" s="92"/>
      <c r="K66" s="92"/>
      <c r="L66" s="88"/>
      <c r="M66" s="88"/>
      <c r="N66" s="93"/>
      <c r="O66" s="7"/>
    </row>
    <row r="67">
      <c r="A67" s="69" t="s">
        <v>164</v>
      </c>
      <c r="B67" s="70">
        <v>8.0</v>
      </c>
      <c r="C67" s="70">
        <v>0.0</v>
      </c>
      <c r="D67" s="70">
        <v>32.0</v>
      </c>
      <c r="E67" s="70" t="s">
        <v>296</v>
      </c>
      <c r="F67" s="70" t="s">
        <v>297</v>
      </c>
      <c r="G67" s="70" t="s">
        <v>223</v>
      </c>
      <c r="H67" s="70" t="s">
        <v>224</v>
      </c>
      <c r="I67" s="95">
        <v>0.001</v>
      </c>
      <c r="J67" s="70">
        <v>0.0</v>
      </c>
      <c r="K67" s="70" t="s">
        <v>298</v>
      </c>
      <c r="L67" s="71">
        <f t="shared" ref="L67:L69" si="50">IF(H67="NO", J67, (-(2^(D67-1))+J67)*I67)</f>
        <v>-2147483.648</v>
      </c>
      <c r="M67" s="71">
        <f t="shared" ref="M67:M69" si="51">IF(H67="NO",(((2^D67)-1+J67)*I67),(((2^(D67-1))-1+J67)*I67))</f>
        <v>2147483.647</v>
      </c>
      <c r="N67" s="72">
        <f t="shared" ref="N67:N69" si="52">(M67-L67)/(2^D67)</f>
        <v>0.0009999999998</v>
      </c>
      <c r="O67" s="7" t="s">
        <v>299</v>
      </c>
    </row>
    <row r="68">
      <c r="A68" s="81"/>
      <c r="B68" s="82"/>
      <c r="C68" s="83">
        <v>32.0</v>
      </c>
      <c r="D68" s="83">
        <v>32.0</v>
      </c>
      <c r="E68" s="83" t="s">
        <v>300</v>
      </c>
      <c r="F68" s="83" t="s">
        <v>301</v>
      </c>
      <c r="G68" s="83" t="s">
        <v>223</v>
      </c>
      <c r="H68" s="83" t="s">
        <v>224</v>
      </c>
      <c r="I68" s="96">
        <v>0.001</v>
      </c>
      <c r="J68" s="83">
        <v>0.0</v>
      </c>
      <c r="K68" s="83" t="s">
        <v>302</v>
      </c>
      <c r="L68" s="82">
        <f t="shared" si="50"/>
        <v>-2147483.648</v>
      </c>
      <c r="M68" s="82">
        <f t="shared" si="51"/>
        <v>2147483.647</v>
      </c>
      <c r="N68" s="84">
        <f t="shared" si="52"/>
        <v>0.0009999999998</v>
      </c>
      <c r="O68" s="7" t="s">
        <v>303</v>
      </c>
    </row>
    <row r="69">
      <c r="A69" s="73"/>
      <c r="B69" s="74"/>
      <c r="C69" s="75">
        <v>64.0</v>
      </c>
      <c r="D69" s="74"/>
      <c r="E69" s="74"/>
      <c r="F69" s="74"/>
      <c r="G69" s="75"/>
      <c r="H69" s="75"/>
      <c r="I69" s="74"/>
      <c r="J69" s="74"/>
      <c r="K69" s="74"/>
      <c r="L69" s="74">
        <f t="shared" si="50"/>
        <v>0</v>
      </c>
      <c r="M69" s="74">
        <f t="shared" si="51"/>
        <v>0</v>
      </c>
      <c r="N69" s="76">
        <f t="shared" si="52"/>
        <v>0</v>
      </c>
    </row>
    <row r="70">
      <c r="A70" s="91"/>
      <c r="B70" s="92"/>
      <c r="C70" s="92"/>
      <c r="D70" s="92"/>
      <c r="E70" s="92"/>
      <c r="F70" s="92"/>
      <c r="G70" s="92"/>
      <c r="H70" s="92"/>
      <c r="I70" s="92"/>
      <c r="J70" s="88"/>
      <c r="K70" s="92"/>
      <c r="L70" s="88"/>
      <c r="M70" s="88"/>
      <c r="N70" s="93"/>
    </row>
    <row r="71">
      <c r="A71" s="69" t="s">
        <v>167</v>
      </c>
      <c r="B71" s="70">
        <v>8.0</v>
      </c>
      <c r="C71" s="70">
        <v>0.0</v>
      </c>
      <c r="D71" s="70">
        <v>8.0</v>
      </c>
      <c r="E71" s="70" t="s">
        <v>304</v>
      </c>
      <c r="F71" s="70" t="s">
        <v>305</v>
      </c>
      <c r="G71" s="70" t="s">
        <v>223</v>
      </c>
      <c r="H71" s="70" t="s">
        <v>224</v>
      </c>
      <c r="I71" s="70">
        <v>1.0</v>
      </c>
      <c r="J71" s="70">
        <v>0.0</v>
      </c>
      <c r="K71" s="70" t="s">
        <v>237</v>
      </c>
      <c r="L71" s="71">
        <f t="shared" ref="L71:L93" si="53">IF(H71="NO", J71, (-(2^(D71-1))+J71)*I71)</f>
        <v>-128</v>
      </c>
      <c r="M71" s="71">
        <f t="shared" ref="M71:M93" si="54">IF(H71="NO",(((2^D71)-1+J71)*I71),(((2^(D71-1))-1+J71)*I71))</f>
        <v>127</v>
      </c>
      <c r="N71" s="72">
        <f t="shared" ref="N71:N96" si="55">(M71-L71)/(2^D71)</f>
        <v>0.99609375</v>
      </c>
    </row>
    <row r="72">
      <c r="A72" s="81"/>
      <c r="B72" s="82"/>
      <c r="C72" s="83">
        <v>8.0</v>
      </c>
      <c r="D72" s="83">
        <v>8.0</v>
      </c>
      <c r="E72" s="83" t="s">
        <v>306</v>
      </c>
      <c r="F72" s="83" t="s">
        <v>307</v>
      </c>
      <c r="G72" s="83" t="s">
        <v>223</v>
      </c>
      <c r="H72" s="83" t="s">
        <v>224</v>
      </c>
      <c r="I72" s="83">
        <v>1.0</v>
      </c>
      <c r="J72" s="82">
        <v>0.0</v>
      </c>
      <c r="K72" s="83" t="s">
        <v>237</v>
      </c>
      <c r="L72" s="71">
        <f t="shared" si="53"/>
        <v>-128</v>
      </c>
      <c r="M72" s="71">
        <f t="shared" si="54"/>
        <v>127</v>
      </c>
      <c r="N72" s="84">
        <f t="shared" si="55"/>
        <v>0.99609375</v>
      </c>
    </row>
    <row r="73">
      <c r="A73" s="81"/>
      <c r="B73" s="82"/>
      <c r="C73" s="83">
        <v>16.0</v>
      </c>
      <c r="D73" s="83">
        <v>1.0</v>
      </c>
      <c r="E73" s="83" t="s">
        <v>308</v>
      </c>
      <c r="F73" s="97" t="s">
        <v>309</v>
      </c>
      <c r="G73" s="83" t="s">
        <v>223</v>
      </c>
      <c r="H73" s="83" t="s">
        <v>244</v>
      </c>
      <c r="I73" s="83">
        <v>1.0</v>
      </c>
      <c r="J73" s="82">
        <v>0.0</v>
      </c>
      <c r="K73" s="83"/>
      <c r="L73" s="82">
        <f t="shared" si="53"/>
        <v>0</v>
      </c>
      <c r="M73" s="82">
        <f t="shared" si="54"/>
        <v>1</v>
      </c>
      <c r="N73" s="84">
        <f t="shared" si="55"/>
        <v>0.5</v>
      </c>
    </row>
    <row r="74">
      <c r="A74" s="81"/>
      <c r="B74" s="82"/>
      <c r="C74" s="83">
        <v>17.0</v>
      </c>
      <c r="D74" s="83">
        <v>1.0</v>
      </c>
      <c r="E74" s="83" t="s">
        <v>310</v>
      </c>
      <c r="F74" s="98"/>
      <c r="G74" s="83" t="s">
        <v>223</v>
      </c>
      <c r="H74" s="83" t="s">
        <v>244</v>
      </c>
      <c r="I74" s="83">
        <v>1.0</v>
      </c>
      <c r="J74" s="82">
        <v>0.0</v>
      </c>
      <c r="K74" s="83"/>
      <c r="L74" s="82">
        <f t="shared" si="53"/>
        <v>0</v>
      </c>
      <c r="M74" s="82">
        <f t="shared" si="54"/>
        <v>1</v>
      </c>
      <c r="N74" s="84">
        <f t="shared" si="55"/>
        <v>0.5</v>
      </c>
    </row>
    <row r="75">
      <c r="A75" s="81"/>
      <c r="B75" s="82"/>
      <c r="C75" s="83">
        <v>18.0</v>
      </c>
      <c r="D75" s="83">
        <v>1.0</v>
      </c>
      <c r="E75" s="83" t="s">
        <v>311</v>
      </c>
      <c r="F75" s="98"/>
      <c r="G75" s="83" t="s">
        <v>223</v>
      </c>
      <c r="H75" s="83" t="s">
        <v>244</v>
      </c>
      <c r="I75" s="83">
        <v>1.0</v>
      </c>
      <c r="J75" s="82">
        <v>0.0</v>
      </c>
      <c r="K75" s="83"/>
      <c r="L75" s="82">
        <f t="shared" si="53"/>
        <v>0</v>
      </c>
      <c r="M75" s="82">
        <f t="shared" si="54"/>
        <v>1</v>
      </c>
      <c r="N75" s="84">
        <f t="shared" si="55"/>
        <v>0.5</v>
      </c>
    </row>
    <row r="76">
      <c r="A76" s="81"/>
      <c r="B76" s="82"/>
      <c r="C76" s="83">
        <v>19.0</v>
      </c>
      <c r="D76" s="83">
        <v>1.0</v>
      </c>
      <c r="E76" s="83" t="s">
        <v>312</v>
      </c>
      <c r="F76" s="99"/>
      <c r="G76" s="83" t="s">
        <v>223</v>
      </c>
      <c r="H76" s="83" t="s">
        <v>244</v>
      </c>
      <c r="I76" s="83">
        <v>1.0</v>
      </c>
      <c r="J76" s="82">
        <v>0.0</v>
      </c>
      <c r="K76" s="83"/>
      <c r="L76" s="82">
        <f t="shared" si="53"/>
        <v>0</v>
      </c>
      <c r="M76" s="82">
        <f t="shared" si="54"/>
        <v>1</v>
      </c>
      <c r="N76" s="84">
        <f t="shared" si="55"/>
        <v>0.5</v>
      </c>
    </row>
    <row r="77">
      <c r="A77" s="81"/>
      <c r="B77" s="82"/>
      <c r="C77" s="83">
        <v>20.0</v>
      </c>
      <c r="D77" s="83">
        <v>1.0</v>
      </c>
      <c r="E77" s="83" t="s">
        <v>313</v>
      </c>
      <c r="F77" s="97" t="s">
        <v>314</v>
      </c>
      <c r="G77" s="83" t="s">
        <v>223</v>
      </c>
      <c r="H77" s="83" t="s">
        <v>244</v>
      </c>
      <c r="I77" s="83">
        <v>1.0</v>
      </c>
      <c r="J77" s="82">
        <v>0.0</v>
      </c>
      <c r="K77" s="83"/>
      <c r="L77" s="82">
        <f t="shared" si="53"/>
        <v>0</v>
      </c>
      <c r="M77" s="82">
        <f t="shared" si="54"/>
        <v>1</v>
      </c>
      <c r="N77" s="84">
        <f t="shared" si="55"/>
        <v>0.5</v>
      </c>
    </row>
    <row r="78">
      <c r="A78" s="81"/>
      <c r="B78" s="82"/>
      <c r="C78" s="83">
        <v>21.0</v>
      </c>
      <c r="D78" s="83">
        <v>1.0</v>
      </c>
      <c r="E78" s="83" t="s">
        <v>315</v>
      </c>
      <c r="F78" s="98"/>
      <c r="G78" s="83" t="s">
        <v>223</v>
      </c>
      <c r="H78" s="83" t="s">
        <v>244</v>
      </c>
      <c r="I78" s="83">
        <v>1.0</v>
      </c>
      <c r="J78" s="82">
        <v>0.0</v>
      </c>
      <c r="K78" s="83"/>
      <c r="L78" s="82">
        <f t="shared" si="53"/>
        <v>0</v>
      </c>
      <c r="M78" s="82">
        <f t="shared" si="54"/>
        <v>1</v>
      </c>
      <c r="N78" s="84">
        <f t="shared" si="55"/>
        <v>0.5</v>
      </c>
    </row>
    <row r="79">
      <c r="A79" s="81"/>
      <c r="B79" s="82"/>
      <c r="C79" s="83">
        <v>22.0</v>
      </c>
      <c r="D79" s="83">
        <v>1.0</v>
      </c>
      <c r="E79" s="83" t="s">
        <v>316</v>
      </c>
      <c r="F79" s="98"/>
      <c r="G79" s="83" t="s">
        <v>223</v>
      </c>
      <c r="H79" s="83" t="s">
        <v>244</v>
      </c>
      <c r="I79" s="83">
        <v>1.0</v>
      </c>
      <c r="J79" s="82">
        <v>0.0</v>
      </c>
      <c r="L79" s="82">
        <f t="shared" si="53"/>
        <v>0</v>
      </c>
      <c r="M79" s="82">
        <f t="shared" si="54"/>
        <v>1</v>
      </c>
      <c r="N79" s="84">
        <f t="shared" si="55"/>
        <v>0.5</v>
      </c>
    </row>
    <row r="80">
      <c r="A80" s="81"/>
      <c r="B80" s="82"/>
      <c r="C80" s="83">
        <v>23.0</v>
      </c>
      <c r="D80" s="83">
        <v>1.0</v>
      </c>
      <c r="E80" s="83" t="s">
        <v>317</v>
      </c>
      <c r="F80" s="99"/>
      <c r="G80" s="83" t="s">
        <v>223</v>
      </c>
      <c r="H80" s="83" t="s">
        <v>244</v>
      </c>
      <c r="I80" s="83">
        <v>1.0</v>
      </c>
      <c r="J80" s="82">
        <v>0.0</v>
      </c>
      <c r="K80" s="83"/>
      <c r="L80" s="82">
        <f t="shared" si="53"/>
        <v>0</v>
      </c>
      <c r="M80" s="82">
        <f t="shared" si="54"/>
        <v>1</v>
      </c>
      <c r="N80" s="84">
        <f t="shared" si="55"/>
        <v>0.5</v>
      </c>
    </row>
    <row r="81">
      <c r="A81" s="81"/>
      <c r="B81" s="82"/>
      <c r="C81" s="83">
        <v>24.0</v>
      </c>
      <c r="D81" s="83">
        <v>8.0</v>
      </c>
      <c r="E81" s="83" t="s">
        <v>65</v>
      </c>
      <c r="F81" s="83" t="s">
        <v>318</v>
      </c>
      <c r="G81" s="83" t="s">
        <v>223</v>
      </c>
      <c r="H81" s="83" t="s">
        <v>244</v>
      </c>
      <c r="I81" s="83">
        <v>1.0</v>
      </c>
      <c r="J81" s="82">
        <v>0.0</v>
      </c>
      <c r="K81" s="83"/>
      <c r="L81" s="82">
        <f t="shared" si="53"/>
        <v>0</v>
      </c>
      <c r="M81" s="82">
        <f t="shared" si="54"/>
        <v>255</v>
      </c>
      <c r="N81" s="84">
        <f t="shared" si="55"/>
        <v>0.99609375</v>
      </c>
    </row>
    <row r="82">
      <c r="A82" s="81"/>
      <c r="B82" s="82"/>
      <c r="C82" s="83">
        <v>32.0</v>
      </c>
      <c r="D82" s="83">
        <v>1.0</v>
      </c>
      <c r="E82" s="83" t="s">
        <v>319</v>
      </c>
      <c r="F82" s="83" t="s">
        <v>320</v>
      </c>
      <c r="G82" s="83" t="s">
        <v>223</v>
      </c>
      <c r="H82" s="83" t="s">
        <v>244</v>
      </c>
      <c r="I82" s="83">
        <v>1.0</v>
      </c>
      <c r="J82" s="82">
        <v>0.0</v>
      </c>
      <c r="K82" s="83"/>
      <c r="L82" s="82">
        <f t="shared" si="53"/>
        <v>0</v>
      </c>
      <c r="M82" s="82">
        <f t="shared" si="54"/>
        <v>1</v>
      </c>
      <c r="N82" s="84">
        <f t="shared" si="55"/>
        <v>0.5</v>
      </c>
    </row>
    <row r="83">
      <c r="A83" s="81"/>
      <c r="B83" s="82"/>
      <c r="C83" s="83">
        <v>33.0</v>
      </c>
      <c r="D83" s="83">
        <v>1.0</v>
      </c>
      <c r="E83" s="83" t="s">
        <v>321</v>
      </c>
      <c r="F83" s="83" t="s">
        <v>322</v>
      </c>
      <c r="G83" s="83" t="s">
        <v>223</v>
      </c>
      <c r="H83" s="83" t="s">
        <v>244</v>
      </c>
      <c r="I83" s="83">
        <v>1.0</v>
      </c>
      <c r="J83" s="82">
        <v>0.0</v>
      </c>
      <c r="K83" s="83"/>
      <c r="L83" s="82">
        <f t="shared" si="53"/>
        <v>0</v>
      </c>
      <c r="M83" s="82">
        <f t="shared" si="54"/>
        <v>1</v>
      </c>
      <c r="N83" s="84">
        <f t="shared" si="55"/>
        <v>0.5</v>
      </c>
    </row>
    <row r="84">
      <c r="A84" s="81"/>
      <c r="B84" s="82"/>
      <c r="C84" s="83">
        <v>34.0</v>
      </c>
      <c r="D84" s="83">
        <v>1.0</v>
      </c>
      <c r="E84" s="83" t="s">
        <v>323</v>
      </c>
      <c r="F84" s="83" t="s">
        <v>324</v>
      </c>
      <c r="G84" s="83" t="s">
        <v>223</v>
      </c>
      <c r="H84" s="83" t="s">
        <v>244</v>
      </c>
      <c r="I84" s="83">
        <v>1.0</v>
      </c>
      <c r="J84" s="82">
        <v>0.0</v>
      </c>
      <c r="K84" s="83"/>
      <c r="L84" s="82">
        <f t="shared" si="53"/>
        <v>0</v>
      </c>
      <c r="M84" s="82">
        <f t="shared" si="54"/>
        <v>1</v>
      </c>
      <c r="N84" s="84">
        <f t="shared" si="55"/>
        <v>0.5</v>
      </c>
    </row>
    <row r="85">
      <c r="A85" s="81"/>
      <c r="B85" s="82"/>
      <c r="C85" s="83">
        <v>35.0</v>
      </c>
      <c r="D85" s="83">
        <v>1.0</v>
      </c>
      <c r="E85" s="83" t="s">
        <v>325</v>
      </c>
      <c r="F85" s="83" t="s">
        <v>324</v>
      </c>
      <c r="G85" s="83" t="s">
        <v>223</v>
      </c>
      <c r="H85" s="83" t="s">
        <v>244</v>
      </c>
      <c r="I85" s="83">
        <v>1.0</v>
      </c>
      <c r="J85" s="82">
        <v>0.0</v>
      </c>
      <c r="K85" s="83"/>
      <c r="L85" s="82">
        <f t="shared" si="53"/>
        <v>0</v>
      </c>
      <c r="M85" s="82">
        <f t="shared" si="54"/>
        <v>1</v>
      </c>
      <c r="N85" s="84">
        <f t="shared" si="55"/>
        <v>0.5</v>
      </c>
    </row>
    <row r="86">
      <c r="A86" s="81"/>
      <c r="B86" s="82"/>
      <c r="C86" s="83">
        <v>36.0</v>
      </c>
      <c r="D86" s="83">
        <v>1.0</v>
      </c>
      <c r="E86" s="83" t="s">
        <v>326</v>
      </c>
      <c r="F86" s="83" t="s">
        <v>327</v>
      </c>
      <c r="G86" s="83" t="s">
        <v>223</v>
      </c>
      <c r="H86" s="83" t="s">
        <v>244</v>
      </c>
      <c r="I86" s="83">
        <v>1.0</v>
      </c>
      <c r="J86" s="82">
        <v>0.0</v>
      </c>
      <c r="K86" s="83"/>
      <c r="L86" s="82">
        <f t="shared" si="53"/>
        <v>0</v>
      </c>
      <c r="M86" s="82">
        <f t="shared" si="54"/>
        <v>1</v>
      </c>
      <c r="N86" s="84">
        <f t="shared" si="55"/>
        <v>0.5</v>
      </c>
    </row>
    <row r="87">
      <c r="A87" s="81"/>
      <c r="B87" s="82"/>
      <c r="C87" s="83">
        <v>37.0</v>
      </c>
      <c r="D87" s="83">
        <v>1.0</v>
      </c>
      <c r="E87" s="83" t="s">
        <v>328</v>
      </c>
      <c r="F87" s="83" t="s">
        <v>329</v>
      </c>
      <c r="G87" s="83" t="s">
        <v>223</v>
      </c>
      <c r="H87" s="83" t="s">
        <v>244</v>
      </c>
      <c r="I87" s="83">
        <v>1.0</v>
      </c>
      <c r="J87" s="82">
        <v>0.0</v>
      </c>
      <c r="K87" s="83"/>
      <c r="L87" s="82">
        <f t="shared" si="53"/>
        <v>0</v>
      </c>
      <c r="M87" s="82">
        <f t="shared" si="54"/>
        <v>1</v>
      </c>
      <c r="N87" s="84">
        <f t="shared" si="55"/>
        <v>0.5</v>
      </c>
    </row>
    <row r="88">
      <c r="A88" s="81"/>
      <c r="B88" s="82"/>
      <c r="C88" s="83">
        <v>38.0</v>
      </c>
      <c r="D88" s="83">
        <v>1.0</v>
      </c>
      <c r="E88" s="83" t="s">
        <v>330</v>
      </c>
      <c r="F88" s="83" t="s">
        <v>329</v>
      </c>
      <c r="G88" s="83" t="s">
        <v>223</v>
      </c>
      <c r="H88" s="83" t="s">
        <v>244</v>
      </c>
      <c r="I88" s="83">
        <v>1.0</v>
      </c>
      <c r="J88" s="82">
        <v>0.0</v>
      </c>
      <c r="K88" s="83"/>
      <c r="L88" s="82">
        <f t="shared" si="53"/>
        <v>0</v>
      </c>
      <c r="M88" s="82">
        <f t="shared" si="54"/>
        <v>1</v>
      </c>
      <c r="N88" s="84">
        <f t="shared" si="55"/>
        <v>0.5</v>
      </c>
    </row>
    <row r="89">
      <c r="A89" s="81"/>
      <c r="B89" s="82"/>
      <c r="C89" s="83">
        <v>39.0</v>
      </c>
      <c r="D89" s="83">
        <v>1.0</v>
      </c>
      <c r="E89" s="83" t="s">
        <v>331</v>
      </c>
      <c r="F89" s="83" t="s">
        <v>329</v>
      </c>
      <c r="G89" s="83" t="s">
        <v>223</v>
      </c>
      <c r="H89" s="83" t="s">
        <v>244</v>
      </c>
      <c r="I89" s="83">
        <v>1.0</v>
      </c>
      <c r="J89" s="82">
        <v>0.0</v>
      </c>
      <c r="K89" s="83"/>
      <c r="L89" s="82">
        <f t="shared" si="53"/>
        <v>0</v>
      </c>
      <c r="M89" s="82">
        <f t="shared" si="54"/>
        <v>1</v>
      </c>
      <c r="N89" s="84">
        <f t="shared" si="55"/>
        <v>0.5</v>
      </c>
    </row>
    <row r="90">
      <c r="A90" s="81"/>
      <c r="B90" s="82"/>
      <c r="C90" s="83">
        <v>40.0</v>
      </c>
      <c r="D90" s="83">
        <v>1.0</v>
      </c>
      <c r="E90" s="83" t="s">
        <v>332</v>
      </c>
      <c r="F90" s="83" t="s">
        <v>329</v>
      </c>
      <c r="G90" s="83" t="s">
        <v>223</v>
      </c>
      <c r="H90" s="83" t="s">
        <v>244</v>
      </c>
      <c r="I90" s="83">
        <v>1.0</v>
      </c>
      <c r="J90" s="82">
        <v>0.0</v>
      </c>
      <c r="K90" s="83"/>
      <c r="L90" s="82">
        <f t="shared" si="53"/>
        <v>0</v>
      </c>
      <c r="M90" s="82">
        <f t="shared" si="54"/>
        <v>1</v>
      </c>
      <c r="N90" s="84">
        <f t="shared" si="55"/>
        <v>0.5</v>
      </c>
    </row>
    <row r="91">
      <c r="A91" s="81"/>
      <c r="B91" s="82"/>
      <c r="C91" s="83">
        <v>41.0</v>
      </c>
      <c r="D91" s="83">
        <v>1.0</v>
      </c>
      <c r="E91" s="83" t="s">
        <v>333</v>
      </c>
      <c r="F91" s="83" t="s">
        <v>329</v>
      </c>
      <c r="G91" s="83" t="s">
        <v>223</v>
      </c>
      <c r="H91" s="83" t="s">
        <v>244</v>
      </c>
      <c r="I91" s="83">
        <v>1.0</v>
      </c>
      <c r="J91" s="82">
        <v>0.0</v>
      </c>
      <c r="K91" s="83"/>
      <c r="L91" s="82">
        <f t="shared" si="53"/>
        <v>0</v>
      </c>
      <c r="M91" s="82">
        <f t="shared" si="54"/>
        <v>1</v>
      </c>
      <c r="N91" s="84">
        <f t="shared" si="55"/>
        <v>0.5</v>
      </c>
    </row>
    <row r="92">
      <c r="A92" s="81"/>
      <c r="B92" s="82"/>
      <c r="C92" s="83">
        <v>42.0</v>
      </c>
      <c r="D92" s="83">
        <v>1.0</v>
      </c>
      <c r="E92" s="83" t="s">
        <v>334</v>
      </c>
      <c r="F92" s="83" t="s">
        <v>329</v>
      </c>
      <c r="G92" s="83" t="s">
        <v>223</v>
      </c>
      <c r="H92" s="83" t="s">
        <v>244</v>
      </c>
      <c r="I92" s="83">
        <v>1.0</v>
      </c>
      <c r="J92" s="82">
        <v>0.0</v>
      </c>
      <c r="K92" s="83"/>
      <c r="L92" s="82">
        <f t="shared" si="53"/>
        <v>0</v>
      </c>
      <c r="M92" s="82">
        <f t="shared" si="54"/>
        <v>1</v>
      </c>
      <c r="N92" s="84">
        <f t="shared" si="55"/>
        <v>0.5</v>
      </c>
    </row>
    <row r="93">
      <c r="A93" s="81"/>
      <c r="B93" s="82"/>
      <c r="C93" s="83">
        <v>43.0</v>
      </c>
      <c r="D93" s="83">
        <v>5.0</v>
      </c>
      <c r="E93" s="83" t="s">
        <v>251</v>
      </c>
      <c r="F93" s="83" t="s">
        <v>335</v>
      </c>
      <c r="G93" s="83" t="s">
        <v>223</v>
      </c>
      <c r="H93" s="83" t="s">
        <v>244</v>
      </c>
      <c r="I93" s="83">
        <v>1.0</v>
      </c>
      <c r="J93" s="82">
        <v>0.0</v>
      </c>
      <c r="K93" s="83"/>
      <c r="L93" s="82">
        <f t="shared" si="53"/>
        <v>0</v>
      </c>
      <c r="M93" s="82">
        <f t="shared" si="54"/>
        <v>31</v>
      </c>
      <c r="N93" s="84">
        <f t="shared" si="55"/>
        <v>0.96875</v>
      </c>
    </row>
    <row r="94">
      <c r="A94" s="81"/>
      <c r="B94" s="82"/>
      <c r="C94" s="83">
        <v>48.0</v>
      </c>
      <c r="D94" s="83">
        <v>1.0</v>
      </c>
      <c r="E94" s="83" t="s">
        <v>251</v>
      </c>
      <c r="F94" s="83" t="s">
        <v>286</v>
      </c>
      <c r="G94" s="83" t="s">
        <v>223</v>
      </c>
      <c r="H94" s="83" t="s">
        <v>244</v>
      </c>
      <c r="I94" s="82"/>
      <c r="J94" s="82">
        <v>0.0</v>
      </c>
      <c r="K94" s="83" t="s">
        <v>287</v>
      </c>
      <c r="L94" s="82">
        <f>IF(H94="NO", J72, (-(2^(D94-1))+J72)*I94)</f>
        <v>0</v>
      </c>
      <c r="M94" s="82">
        <f>IF(H94="NO",(((2^D94)-1+J72)*I94),(((2^(D94-1))-1+J72)*I94))</f>
        <v>0</v>
      </c>
      <c r="N94" s="84">
        <f t="shared" si="55"/>
        <v>0</v>
      </c>
    </row>
    <row r="95">
      <c r="A95" s="81"/>
      <c r="B95" s="82"/>
      <c r="C95" s="83">
        <v>56.0</v>
      </c>
      <c r="D95" s="83">
        <v>8.0</v>
      </c>
      <c r="E95" s="83" t="s">
        <v>336</v>
      </c>
      <c r="F95" s="83" t="s">
        <v>337</v>
      </c>
      <c r="G95" s="83" t="s">
        <v>223</v>
      </c>
      <c r="H95" s="83" t="s">
        <v>244</v>
      </c>
      <c r="I95" s="83">
        <v>1.0</v>
      </c>
      <c r="J95" s="82">
        <v>0.0</v>
      </c>
      <c r="K95" s="83"/>
      <c r="L95" s="82">
        <f t="shared" ref="L95:L96" si="56">IF(H95="NO", J95, (-(2^(D95-1))+J95)*I95)</f>
        <v>0</v>
      </c>
      <c r="M95" s="82">
        <f t="shared" ref="M95:M96" si="57">IF(H95="NO",(((2^D95)-1+J95)*I95),(((2^(D95-1))-1+J95)*I95))</f>
        <v>255</v>
      </c>
      <c r="N95" s="84">
        <f t="shared" si="55"/>
        <v>0.99609375</v>
      </c>
    </row>
    <row r="96">
      <c r="A96" s="73"/>
      <c r="B96" s="74"/>
      <c r="C96" s="75">
        <v>64.0</v>
      </c>
      <c r="D96" s="74"/>
      <c r="E96" s="74"/>
      <c r="F96" s="74"/>
      <c r="G96" s="75"/>
      <c r="H96" s="75"/>
      <c r="I96" s="74"/>
      <c r="J96" s="74"/>
      <c r="K96" s="74"/>
      <c r="L96" s="74">
        <f t="shared" si="56"/>
        <v>0</v>
      </c>
      <c r="M96" s="74">
        <f t="shared" si="57"/>
        <v>0</v>
      </c>
      <c r="N96" s="76">
        <f t="shared" si="55"/>
        <v>0</v>
      </c>
    </row>
    <row r="97">
      <c r="A97" s="100"/>
      <c r="B97" s="88"/>
      <c r="C97" s="92"/>
      <c r="D97" s="88"/>
      <c r="E97" s="88"/>
      <c r="F97" s="88"/>
      <c r="G97" s="88"/>
      <c r="H97" s="88"/>
      <c r="I97" s="88"/>
      <c r="J97" s="88"/>
      <c r="K97" s="88"/>
      <c r="L97" s="88"/>
      <c r="M97" s="88"/>
      <c r="N97" s="93"/>
    </row>
    <row r="98">
      <c r="A98" s="101" t="s">
        <v>204</v>
      </c>
      <c r="B98" s="102">
        <v>8.0</v>
      </c>
      <c r="C98" s="102">
        <v>0.0</v>
      </c>
      <c r="D98" s="102">
        <v>8.0</v>
      </c>
      <c r="E98" s="103" t="s">
        <v>338</v>
      </c>
      <c r="F98" s="103" t="s">
        <v>339</v>
      </c>
      <c r="G98" s="70" t="s">
        <v>223</v>
      </c>
      <c r="H98" s="103" t="s">
        <v>244</v>
      </c>
      <c r="I98" s="102">
        <v>50.0</v>
      </c>
      <c r="J98" s="102">
        <v>0.0</v>
      </c>
      <c r="K98" s="104" t="s">
        <v>340</v>
      </c>
      <c r="L98" s="71">
        <f t="shared" ref="L98:L106" si="58">IF(H98="NO", J98, (-(2^(D98-1))+J98)*I98)</f>
        <v>0</v>
      </c>
      <c r="M98" s="105">
        <f t="shared" ref="M98:M105" si="59">IF(H98="NO",(((2^D98)-1+J98)*I98),(((2^(D98-1))-1+J98)*I98))</f>
        <v>12750</v>
      </c>
      <c r="N98" s="106">
        <f>(M98-L98)/(2^(D98-1))</f>
        <v>99.609375</v>
      </c>
      <c r="O98" s="45"/>
      <c r="P98" s="45"/>
      <c r="Q98" s="45"/>
      <c r="R98" s="45"/>
      <c r="S98" s="45"/>
      <c r="T98" s="45"/>
      <c r="U98" s="45"/>
      <c r="V98" s="45"/>
      <c r="W98" s="45"/>
      <c r="X98" s="45"/>
      <c r="Y98" s="45"/>
      <c r="Z98" s="45"/>
      <c r="AA98" s="45"/>
    </row>
    <row r="99">
      <c r="A99" s="107"/>
      <c r="B99" s="108"/>
      <c r="C99" s="109">
        <f t="shared" ref="C99:C106" si="60">C98+D98</f>
        <v>8</v>
      </c>
      <c r="D99" s="109">
        <v>8.0</v>
      </c>
      <c r="E99" s="108" t="s">
        <v>341</v>
      </c>
      <c r="F99" s="108" t="s">
        <v>342</v>
      </c>
      <c r="G99" s="83" t="s">
        <v>223</v>
      </c>
      <c r="H99" s="108" t="s">
        <v>244</v>
      </c>
      <c r="I99" s="109">
        <v>50.0</v>
      </c>
      <c r="J99" s="109">
        <v>0.0</v>
      </c>
      <c r="K99" s="110" t="s">
        <v>340</v>
      </c>
      <c r="L99" s="82">
        <f t="shared" si="58"/>
        <v>0</v>
      </c>
      <c r="M99" s="111">
        <f t="shared" si="59"/>
        <v>12750</v>
      </c>
      <c r="N99" s="112">
        <f t="shared" ref="N99:N106" si="61">(M99-L99)/(2^D99)</f>
        <v>49.8046875</v>
      </c>
      <c r="O99" s="45"/>
      <c r="P99" s="45"/>
      <c r="Q99" s="45"/>
      <c r="R99" s="45"/>
      <c r="S99" s="45"/>
      <c r="T99" s="45"/>
      <c r="U99" s="45"/>
      <c r="V99" s="45"/>
      <c r="W99" s="45"/>
      <c r="X99" s="45"/>
      <c r="Y99" s="45"/>
      <c r="Z99" s="45"/>
      <c r="AA99" s="45"/>
    </row>
    <row r="100">
      <c r="A100" s="107"/>
      <c r="B100" s="108"/>
      <c r="C100" s="109">
        <f t="shared" si="60"/>
        <v>16</v>
      </c>
      <c r="D100" s="109">
        <v>8.0</v>
      </c>
      <c r="E100" s="108" t="s">
        <v>343</v>
      </c>
      <c r="F100" s="108" t="s">
        <v>344</v>
      </c>
      <c r="G100" s="83" t="s">
        <v>223</v>
      </c>
      <c r="H100" s="108" t="s">
        <v>244</v>
      </c>
      <c r="I100" s="109">
        <v>500.0</v>
      </c>
      <c r="J100" s="109">
        <v>0.0</v>
      </c>
      <c r="K100" s="110" t="s">
        <v>340</v>
      </c>
      <c r="L100" s="82">
        <f t="shared" si="58"/>
        <v>0</v>
      </c>
      <c r="M100" s="111">
        <f t="shared" si="59"/>
        <v>127500</v>
      </c>
      <c r="N100" s="112">
        <f t="shared" si="61"/>
        <v>498.046875</v>
      </c>
      <c r="O100" s="45"/>
      <c r="P100" s="45"/>
      <c r="Q100" s="45"/>
      <c r="R100" s="45"/>
      <c r="S100" s="45"/>
      <c r="T100" s="45"/>
      <c r="U100" s="45"/>
      <c r="V100" s="45"/>
      <c r="W100" s="45"/>
      <c r="X100" s="45"/>
      <c r="Y100" s="45"/>
      <c r="Z100" s="45"/>
      <c r="AA100" s="45"/>
    </row>
    <row r="101">
      <c r="A101" s="107"/>
      <c r="B101" s="108"/>
      <c r="C101" s="109">
        <f t="shared" si="60"/>
        <v>24</v>
      </c>
      <c r="D101" s="109">
        <v>8.0</v>
      </c>
      <c r="E101" s="108" t="s">
        <v>345</v>
      </c>
      <c r="F101" s="108" t="s">
        <v>346</v>
      </c>
      <c r="G101" s="83" t="s">
        <v>223</v>
      </c>
      <c r="H101" s="108" t="s">
        <v>244</v>
      </c>
      <c r="I101" s="109">
        <v>500.0</v>
      </c>
      <c r="J101" s="109">
        <v>0.0</v>
      </c>
      <c r="K101" s="110" t="s">
        <v>340</v>
      </c>
      <c r="L101" s="82">
        <f t="shared" si="58"/>
        <v>0</v>
      </c>
      <c r="M101" s="111">
        <f t="shared" si="59"/>
        <v>127500</v>
      </c>
      <c r="N101" s="112">
        <f t="shared" si="61"/>
        <v>498.046875</v>
      </c>
      <c r="O101" s="45"/>
      <c r="P101" s="45"/>
      <c r="Q101" s="45"/>
      <c r="R101" s="45"/>
      <c r="S101" s="45"/>
      <c r="T101" s="45"/>
      <c r="U101" s="45"/>
      <c r="V101" s="45"/>
      <c r="W101" s="45"/>
      <c r="X101" s="45"/>
      <c r="Y101" s="45"/>
      <c r="Z101" s="45"/>
      <c r="AA101" s="45"/>
    </row>
    <row r="102">
      <c r="A102" s="107"/>
      <c r="B102" s="108"/>
      <c r="C102" s="109">
        <f t="shared" si="60"/>
        <v>32</v>
      </c>
      <c r="D102" s="109">
        <v>8.0</v>
      </c>
      <c r="E102" s="108" t="s">
        <v>347</v>
      </c>
      <c r="F102" s="108" t="s">
        <v>348</v>
      </c>
      <c r="G102" s="83" t="s">
        <v>223</v>
      </c>
      <c r="H102" s="108" t="s">
        <v>244</v>
      </c>
      <c r="I102" s="109">
        <v>500.0</v>
      </c>
      <c r="J102" s="109">
        <v>0.0</v>
      </c>
      <c r="K102" s="110" t="s">
        <v>340</v>
      </c>
      <c r="L102" s="82">
        <f t="shared" si="58"/>
        <v>0</v>
      </c>
      <c r="M102" s="111">
        <f t="shared" si="59"/>
        <v>127500</v>
      </c>
      <c r="N102" s="112">
        <f t="shared" si="61"/>
        <v>498.046875</v>
      </c>
      <c r="O102" s="45"/>
      <c r="P102" s="45"/>
      <c r="Q102" s="45"/>
      <c r="R102" s="45"/>
      <c r="S102" s="45"/>
      <c r="T102" s="45"/>
      <c r="U102" s="45"/>
      <c r="V102" s="45"/>
      <c r="W102" s="45"/>
      <c r="X102" s="45"/>
      <c r="Y102" s="45"/>
      <c r="Z102" s="45"/>
      <c r="AA102" s="45"/>
    </row>
    <row r="103">
      <c r="A103" s="107"/>
      <c r="B103" s="108"/>
      <c r="C103" s="109">
        <f t="shared" si="60"/>
        <v>40</v>
      </c>
      <c r="D103" s="109">
        <v>8.0</v>
      </c>
      <c r="E103" s="108" t="s">
        <v>349</v>
      </c>
      <c r="F103" s="108" t="s">
        <v>350</v>
      </c>
      <c r="G103" s="83" t="s">
        <v>223</v>
      </c>
      <c r="H103" s="108" t="s">
        <v>244</v>
      </c>
      <c r="I103" s="109">
        <v>500.0</v>
      </c>
      <c r="J103" s="109">
        <v>0.0</v>
      </c>
      <c r="K103" s="110" t="s">
        <v>340</v>
      </c>
      <c r="L103" s="82">
        <f t="shared" si="58"/>
        <v>0</v>
      </c>
      <c r="M103" s="111">
        <f t="shared" si="59"/>
        <v>127500</v>
      </c>
      <c r="N103" s="112">
        <f t="shared" si="61"/>
        <v>498.046875</v>
      </c>
      <c r="O103" s="45"/>
      <c r="P103" s="45"/>
      <c r="Q103" s="45"/>
      <c r="R103" s="45"/>
      <c r="S103" s="45"/>
      <c r="T103" s="45"/>
      <c r="U103" s="45"/>
      <c r="V103" s="45"/>
      <c r="W103" s="45"/>
      <c r="X103" s="45"/>
      <c r="Y103" s="45"/>
      <c r="Z103" s="45"/>
      <c r="AA103" s="45"/>
    </row>
    <row r="104">
      <c r="A104" s="107"/>
      <c r="B104" s="108"/>
      <c r="C104" s="109">
        <f t="shared" si="60"/>
        <v>48</v>
      </c>
      <c r="D104" s="109">
        <v>12.0</v>
      </c>
      <c r="E104" s="108" t="s">
        <v>351</v>
      </c>
      <c r="F104" s="108" t="s">
        <v>352</v>
      </c>
      <c r="G104" s="83" t="s">
        <v>223</v>
      </c>
      <c r="H104" s="108" t="s">
        <v>244</v>
      </c>
      <c r="I104" s="109">
        <v>4.0</v>
      </c>
      <c r="J104" s="109">
        <v>0.0</v>
      </c>
      <c r="K104" s="110" t="s">
        <v>353</v>
      </c>
      <c r="L104" s="82">
        <f t="shared" si="58"/>
        <v>0</v>
      </c>
      <c r="M104" s="111">
        <f t="shared" si="59"/>
        <v>16380</v>
      </c>
      <c r="N104" s="112">
        <f t="shared" si="61"/>
        <v>3.999023438</v>
      </c>
      <c r="O104" s="45"/>
      <c r="P104" s="45"/>
      <c r="Q104" s="45"/>
      <c r="R104" s="45"/>
      <c r="S104" s="45"/>
      <c r="T104" s="45"/>
      <c r="U104" s="45"/>
      <c r="V104" s="45"/>
      <c r="W104" s="45"/>
      <c r="X104" s="45"/>
      <c r="Y104" s="45"/>
      <c r="Z104" s="45"/>
      <c r="AA104" s="45"/>
    </row>
    <row r="105">
      <c r="A105" s="107"/>
      <c r="B105" s="108"/>
      <c r="C105" s="109">
        <f t="shared" si="60"/>
        <v>60</v>
      </c>
      <c r="D105" s="109">
        <v>4.0</v>
      </c>
      <c r="E105" s="108" t="s">
        <v>354</v>
      </c>
      <c r="F105" s="108" t="s">
        <v>355</v>
      </c>
      <c r="G105" s="83" t="s">
        <v>223</v>
      </c>
      <c r="H105" s="108" t="s">
        <v>244</v>
      </c>
      <c r="I105" s="109">
        <v>1.0</v>
      </c>
      <c r="J105" s="109">
        <v>0.0</v>
      </c>
      <c r="K105" s="110"/>
      <c r="L105" s="82">
        <f t="shared" si="58"/>
        <v>0</v>
      </c>
      <c r="M105" s="111">
        <f t="shared" si="59"/>
        <v>15</v>
      </c>
      <c r="N105" s="112">
        <f t="shared" si="61"/>
        <v>0.9375</v>
      </c>
      <c r="O105" s="45"/>
      <c r="P105" s="45"/>
      <c r="Q105" s="45"/>
      <c r="R105" s="45"/>
      <c r="S105" s="45"/>
      <c r="T105" s="45"/>
      <c r="U105" s="45"/>
      <c r="V105" s="45"/>
      <c r="W105" s="45"/>
      <c r="X105" s="45"/>
      <c r="Y105" s="45"/>
      <c r="Z105" s="45"/>
      <c r="AA105" s="45"/>
    </row>
    <row r="106">
      <c r="A106" s="113"/>
      <c r="B106" s="114"/>
      <c r="C106" s="115">
        <f t="shared" si="60"/>
        <v>64</v>
      </c>
      <c r="D106" s="114"/>
      <c r="E106" s="114"/>
      <c r="F106" s="114"/>
      <c r="G106" s="114"/>
      <c r="H106" s="114"/>
      <c r="I106" s="114"/>
      <c r="J106" s="114"/>
      <c r="K106" s="116"/>
      <c r="L106" s="74">
        <f t="shared" si="58"/>
        <v>0</v>
      </c>
      <c r="M106" s="116"/>
      <c r="N106" s="117">
        <f t="shared" si="61"/>
        <v>0</v>
      </c>
      <c r="O106" s="45"/>
      <c r="P106" s="45"/>
      <c r="Q106" s="45"/>
      <c r="R106" s="45"/>
      <c r="S106" s="45"/>
      <c r="T106" s="45"/>
      <c r="U106" s="45"/>
      <c r="V106" s="45"/>
      <c r="W106" s="45"/>
      <c r="X106" s="45"/>
      <c r="Y106" s="45"/>
      <c r="Z106" s="45"/>
      <c r="AA106" s="45"/>
    </row>
    <row r="107">
      <c r="A107" s="118"/>
      <c r="B107" s="119"/>
      <c r="C107" s="119"/>
      <c r="D107" s="119"/>
      <c r="E107" s="120"/>
      <c r="F107" s="120"/>
      <c r="G107" s="120"/>
      <c r="H107" s="120"/>
      <c r="I107" s="119"/>
      <c r="J107" s="119"/>
      <c r="K107" s="121"/>
      <c r="L107" s="88"/>
      <c r="M107" s="122"/>
      <c r="N107" s="123"/>
      <c r="O107" s="45"/>
      <c r="P107" s="45"/>
      <c r="Q107" s="45"/>
      <c r="R107" s="45"/>
      <c r="S107" s="45"/>
      <c r="T107" s="45"/>
      <c r="U107" s="45"/>
      <c r="V107" s="45"/>
      <c r="W107" s="45"/>
      <c r="X107" s="45"/>
      <c r="Y107" s="45"/>
      <c r="Z107" s="45"/>
      <c r="AA107" s="45"/>
    </row>
    <row r="108">
      <c r="A108" s="101" t="s">
        <v>207</v>
      </c>
      <c r="B108" s="102">
        <v>8.0</v>
      </c>
      <c r="C108" s="102">
        <v>0.0</v>
      </c>
      <c r="D108" s="102">
        <v>8.0</v>
      </c>
      <c r="E108" s="103" t="s">
        <v>338</v>
      </c>
      <c r="F108" s="103" t="s">
        <v>339</v>
      </c>
      <c r="G108" s="70" t="s">
        <v>223</v>
      </c>
      <c r="H108" s="103" t="s">
        <v>244</v>
      </c>
      <c r="I108" s="102">
        <v>50.0</v>
      </c>
      <c r="J108" s="102">
        <v>0.0</v>
      </c>
      <c r="K108" s="104" t="s">
        <v>340</v>
      </c>
      <c r="L108" s="71">
        <f t="shared" ref="L108:L116" si="62">IF(H108="NO", J108, (-(2^(D108-1))+J108)*I108)</f>
        <v>0</v>
      </c>
      <c r="M108" s="105">
        <f t="shared" ref="M108:M115" si="63">IF(H108="NO",(((2^D108)-1+J108)*I108),(((2^(D108-1))-1+J108)*I108))</f>
        <v>12750</v>
      </c>
      <c r="N108" s="106">
        <f>(M108-L108)/(2^(D108-1))</f>
        <v>99.609375</v>
      </c>
      <c r="O108" s="45"/>
      <c r="P108" s="45"/>
      <c r="Q108" s="45"/>
      <c r="R108" s="45"/>
      <c r="S108" s="45"/>
      <c r="T108" s="45"/>
      <c r="U108" s="45"/>
      <c r="V108" s="45"/>
      <c r="W108" s="45"/>
      <c r="X108" s="45"/>
      <c r="Y108" s="45"/>
      <c r="Z108" s="45"/>
      <c r="AA108" s="45"/>
    </row>
    <row r="109">
      <c r="A109" s="107"/>
      <c r="B109" s="108"/>
      <c r="C109" s="109">
        <f t="shared" ref="C109:C116" si="64">C108+D108</f>
        <v>8</v>
      </c>
      <c r="D109" s="109">
        <v>8.0</v>
      </c>
      <c r="E109" s="108" t="s">
        <v>341</v>
      </c>
      <c r="F109" s="108" t="s">
        <v>342</v>
      </c>
      <c r="G109" s="83" t="s">
        <v>223</v>
      </c>
      <c r="H109" s="108" t="s">
        <v>244</v>
      </c>
      <c r="I109" s="109">
        <v>50.0</v>
      </c>
      <c r="J109" s="109">
        <v>0.0</v>
      </c>
      <c r="K109" s="110" t="s">
        <v>340</v>
      </c>
      <c r="L109" s="82">
        <f t="shared" si="62"/>
        <v>0</v>
      </c>
      <c r="M109" s="111">
        <f t="shared" si="63"/>
        <v>12750</v>
      </c>
      <c r="N109" s="112">
        <f t="shared" ref="N109:N116" si="65">(M109-L109)/(2^D109)</f>
        <v>49.8046875</v>
      </c>
      <c r="O109" s="45"/>
      <c r="P109" s="45"/>
      <c r="Q109" s="45"/>
      <c r="R109" s="45"/>
      <c r="S109" s="45"/>
      <c r="T109" s="45"/>
      <c r="U109" s="45"/>
      <c r="V109" s="45"/>
      <c r="W109" s="45"/>
      <c r="X109" s="45"/>
      <c r="Y109" s="45"/>
      <c r="Z109" s="45"/>
      <c r="AA109" s="45"/>
    </row>
    <row r="110">
      <c r="A110" s="107"/>
      <c r="B110" s="108"/>
      <c r="C110" s="109">
        <f t="shared" si="64"/>
        <v>16</v>
      </c>
      <c r="D110" s="109">
        <v>8.0</v>
      </c>
      <c r="E110" s="108" t="s">
        <v>343</v>
      </c>
      <c r="F110" s="108" t="s">
        <v>344</v>
      </c>
      <c r="G110" s="83" t="s">
        <v>223</v>
      </c>
      <c r="H110" s="108" t="s">
        <v>244</v>
      </c>
      <c r="I110" s="109">
        <v>500.0</v>
      </c>
      <c r="J110" s="109">
        <v>0.0</v>
      </c>
      <c r="K110" s="110" t="s">
        <v>340</v>
      </c>
      <c r="L110" s="82">
        <f t="shared" si="62"/>
        <v>0</v>
      </c>
      <c r="M110" s="111">
        <f t="shared" si="63"/>
        <v>127500</v>
      </c>
      <c r="N110" s="112">
        <f t="shared" si="65"/>
        <v>498.046875</v>
      </c>
      <c r="O110" s="45"/>
      <c r="P110" s="45"/>
      <c r="Q110" s="45"/>
      <c r="R110" s="45"/>
      <c r="S110" s="45"/>
      <c r="T110" s="45"/>
      <c r="U110" s="45"/>
      <c r="V110" s="45"/>
      <c r="W110" s="45"/>
      <c r="X110" s="45"/>
      <c r="Y110" s="45"/>
      <c r="Z110" s="45"/>
      <c r="AA110" s="45"/>
    </row>
    <row r="111">
      <c r="A111" s="107"/>
      <c r="B111" s="108"/>
      <c r="C111" s="109">
        <f t="shared" si="64"/>
        <v>24</v>
      </c>
      <c r="D111" s="109">
        <v>8.0</v>
      </c>
      <c r="E111" s="108" t="s">
        <v>345</v>
      </c>
      <c r="F111" s="108" t="s">
        <v>346</v>
      </c>
      <c r="G111" s="83" t="s">
        <v>223</v>
      </c>
      <c r="H111" s="108" t="s">
        <v>244</v>
      </c>
      <c r="I111" s="109">
        <v>500.0</v>
      </c>
      <c r="J111" s="109">
        <v>0.0</v>
      </c>
      <c r="K111" s="110" t="s">
        <v>340</v>
      </c>
      <c r="L111" s="82">
        <f t="shared" si="62"/>
        <v>0</v>
      </c>
      <c r="M111" s="111">
        <f t="shared" si="63"/>
        <v>127500</v>
      </c>
      <c r="N111" s="112">
        <f t="shared" si="65"/>
        <v>498.046875</v>
      </c>
      <c r="O111" s="45"/>
      <c r="P111" s="45"/>
      <c r="Q111" s="45"/>
      <c r="R111" s="45"/>
      <c r="S111" s="45"/>
      <c r="T111" s="45"/>
      <c r="U111" s="45"/>
      <c r="V111" s="45"/>
      <c r="W111" s="45"/>
      <c r="X111" s="45"/>
      <c r="Y111" s="45"/>
      <c r="Z111" s="45"/>
      <c r="AA111" s="45"/>
    </row>
    <row r="112">
      <c r="A112" s="107"/>
      <c r="B112" s="108"/>
      <c r="C112" s="109">
        <f t="shared" si="64"/>
        <v>32</v>
      </c>
      <c r="D112" s="109">
        <v>8.0</v>
      </c>
      <c r="E112" s="108" t="s">
        <v>347</v>
      </c>
      <c r="F112" s="108" t="s">
        <v>348</v>
      </c>
      <c r="G112" s="83" t="s">
        <v>223</v>
      </c>
      <c r="H112" s="108" t="s">
        <v>244</v>
      </c>
      <c r="I112" s="109">
        <v>500.0</v>
      </c>
      <c r="J112" s="109">
        <v>0.0</v>
      </c>
      <c r="K112" s="110" t="s">
        <v>340</v>
      </c>
      <c r="L112" s="82">
        <f t="shared" si="62"/>
        <v>0</v>
      </c>
      <c r="M112" s="111">
        <f t="shared" si="63"/>
        <v>127500</v>
      </c>
      <c r="N112" s="112">
        <f t="shared" si="65"/>
        <v>498.046875</v>
      </c>
      <c r="O112" s="45"/>
      <c r="P112" s="45"/>
      <c r="Q112" s="45"/>
      <c r="R112" s="45"/>
      <c r="S112" s="45"/>
      <c r="T112" s="45"/>
      <c r="U112" s="45"/>
      <c r="V112" s="45"/>
      <c r="W112" s="45"/>
      <c r="X112" s="45"/>
      <c r="Y112" s="45"/>
      <c r="Z112" s="45"/>
      <c r="AA112" s="45"/>
    </row>
    <row r="113">
      <c r="A113" s="107"/>
      <c r="B113" s="108"/>
      <c r="C113" s="109">
        <f t="shared" si="64"/>
        <v>40</v>
      </c>
      <c r="D113" s="109">
        <v>8.0</v>
      </c>
      <c r="E113" s="108" t="s">
        <v>349</v>
      </c>
      <c r="F113" s="108" t="s">
        <v>350</v>
      </c>
      <c r="G113" s="83" t="s">
        <v>223</v>
      </c>
      <c r="H113" s="108" t="s">
        <v>244</v>
      </c>
      <c r="I113" s="109">
        <v>500.0</v>
      </c>
      <c r="J113" s="109">
        <v>0.0</v>
      </c>
      <c r="K113" s="110" t="s">
        <v>340</v>
      </c>
      <c r="L113" s="82">
        <f t="shared" si="62"/>
        <v>0</v>
      </c>
      <c r="M113" s="111">
        <f t="shared" si="63"/>
        <v>127500</v>
      </c>
      <c r="N113" s="112">
        <f t="shared" si="65"/>
        <v>498.046875</v>
      </c>
      <c r="O113" s="45"/>
      <c r="P113" s="45"/>
      <c r="Q113" s="45"/>
      <c r="R113" s="45"/>
      <c r="S113" s="45"/>
      <c r="T113" s="45"/>
      <c r="U113" s="45"/>
      <c r="V113" s="45"/>
      <c r="W113" s="45"/>
      <c r="X113" s="45"/>
      <c r="Y113" s="45"/>
      <c r="Z113" s="45"/>
      <c r="AA113" s="45"/>
    </row>
    <row r="114">
      <c r="A114" s="107"/>
      <c r="B114" s="108"/>
      <c r="C114" s="109">
        <f t="shared" si="64"/>
        <v>48</v>
      </c>
      <c r="D114" s="109">
        <v>12.0</v>
      </c>
      <c r="E114" s="108" t="s">
        <v>351</v>
      </c>
      <c r="F114" s="108" t="s">
        <v>352</v>
      </c>
      <c r="G114" s="83" t="s">
        <v>223</v>
      </c>
      <c r="H114" s="108" t="s">
        <v>244</v>
      </c>
      <c r="I114" s="109">
        <v>4.0</v>
      </c>
      <c r="J114" s="109">
        <v>0.0</v>
      </c>
      <c r="K114" s="110" t="s">
        <v>353</v>
      </c>
      <c r="L114" s="82">
        <f t="shared" si="62"/>
        <v>0</v>
      </c>
      <c r="M114" s="111">
        <f t="shared" si="63"/>
        <v>16380</v>
      </c>
      <c r="N114" s="112">
        <f t="shared" si="65"/>
        <v>3.999023438</v>
      </c>
      <c r="O114" s="45"/>
      <c r="P114" s="45"/>
      <c r="Q114" s="45"/>
      <c r="R114" s="45"/>
      <c r="S114" s="45"/>
      <c r="T114" s="45"/>
      <c r="U114" s="45"/>
      <c r="V114" s="45"/>
      <c r="W114" s="45"/>
      <c r="X114" s="45"/>
      <c r="Y114" s="45"/>
      <c r="Z114" s="45"/>
      <c r="AA114" s="45"/>
    </row>
    <row r="115">
      <c r="A115" s="107"/>
      <c r="B115" s="108"/>
      <c r="C115" s="109">
        <f t="shared" si="64"/>
        <v>60</v>
      </c>
      <c r="D115" s="109">
        <v>4.0</v>
      </c>
      <c r="E115" s="108" t="s">
        <v>354</v>
      </c>
      <c r="F115" s="108" t="s">
        <v>355</v>
      </c>
      <c r="G115" s="83" t="s">
        <v>223</v>
      </c>
      <c r="H115" s="108" t="s">
        <v>244</v>
      </c>
      <c r="I115" s="109">
        <v>1.0</v>
      </c>
      <c r="J115" s="109">
        <v>0.0</v>
      </c>
      <c r="K115" s="110"/>
      <c r="L115" s="82">
        <f t="shared" si="62"/>
        <v>0</v>
      </c>
      <c r="M115" s="111">
        <f t="shared" si="63"/>
        <v>15</v>
      </c>
      <c r="N115" s="112">
        <f t="shared" si="65"/>
        <v>0.9375</v>
      </c>
      <c r="O115" s="45"/>
      <c r="P115" s="45"/>
      <c r="Q115" s="45"/>
      <c r="R115" s="45"/>
      <c r="S115" s="45"/>
      <c r="T115" s="45"/>
      <c r="U115" s="45"/>
      <c r="V115" s="45"/>
      <c r="W115" s="45"/>
      <c r="X115" s="45"/>
      <c r="Y115" s="45"/>
      <c r="Z115" s="45"/>
      <c r="AA115" s="45"/>
    </row>
    <row r="116">
      <c r="A116" s="113"/>
      <c r="B116" s="114"/>
      <c r="C116" s="115">
        <f t="shared" si="64"/>
        <v>64</v>
      </c>
      <c r="D116" s="114"/>
      <c r="E116" s="114"/>
      <c r="F116" s="114"/>
      <c r="G116" s="114"/>
      <c r="H116" s="114"/>
      <c r="I116" s="114"/>
      <c r="J116" s="114"/>
      <c r="K116" s="116"/>
      <c r="L116" s="74">
        <f t="shared" si="62"/>
        <v>0</v>
      </c>
      <c r="M116" s="116"/>
      <c r="N116" s="117">
        <f t="shared" si="65"/>
        <v>0</v>
      </c>
      <c r="O116" s="45"/>
      <c r="P116" s="45"/>
      <c r="Q116" s="45"/>
      <c r="R116" s="45"/>
      <c r="S116" s="45"/>
      <c r="T116" s="45"/>
      <c r="U116" s="45"/>
      <c r="V116" s="45"/>
      <c r="W116" s="45"/>
      <c r="X116" s="45"/>
      <c r="Y116" s="45"/>
      <c r="Z116" s="45"/>
      <c r="AA116" s="45"/>
    </row>
    <row r="117">
      <c r="A117" s="91"/>
      <c r="B117" s="92"/>
      <c r="C117" s="92"/>
      <c r="D117" s="92"/>
      <c r="E117" s="92"/>
      <c r="F117" s="92"/>
      <c r="G117" s="88"/>
      <c r="H117" s="88"/>
      <c r="I117" s="92"/>
      <c r="J117" s="92"/>
      <c r="K117" s="88"/>
      <c r="L117" s="88"/>
      <c r="M117" s="88"/>
      <c r="N117" s="93"/>
    </row>
    <row r="118">
      <c r="A118" s="69" t="s">
        <v>152</v>
      </c>
      <c r="B118" s="70">
        <v>3.0</v>
      </c>
      <c r="C118" s="70">
        <v>0.0</v>
      </c>
      <c r="D118" s="70">
        <v>1.0</v>
      </c>
      <c r="E118" s="70" t="s">
        <v>356</v>
      </c>
      <c r="F118" s="70" t="s">
        <v>357</v>
      </c>
      <c r="G118" s="70" t="s">
        <v>223</v>
      </c>
      <c r="H118" s="70" t="s">
        <v>244</v>
      </c>
      <c r="I118" s="70">
        <v>1.0</v>
      </c>
      <c r="J118" s="70">
        <v>0.0</v>
      </c>
      <c r="K118" s="71"/>
      <c r="L118" s="71">
        <f t="shared" ref="L118:L127" si="66">IF(H118="NO", J118, (-(2^(D118-1))+J118)*I118)</f>
        <v>0</v>
      </c>
      <c r="M118" s="71">
        <f t="shared" ref="M118:M126" si="67">IF(H118="NO",(((2^D118)-1+J118)*I118),(((2^(D118-1))-1+J118)*I118))</f>
        <v>1</v>
      </c>
      <c r="N118" s="72">
        <f>(M118-L118)/(2^(D118-1))</f>
        <v>1</v>
      </c>
    </row>
    <row r="119">
      <c r="A119" s="81"/>
      <c r="B119" s="82"/>
      <c r="C119" s="83">
        <f t="shared" ref="C119:C125" si="68">C118+D118</f>
        <v>1</v>
      </c>
      <c r="D119" s="83">
        <v>1.0</v>
      </c>
      <c r="E119" s="83" t="s">
        <v>358</v>
      </c>
      <c r="F119" s="83" t="s">
        <v>359</v>
      </c>
      <c r="G119" s="83" t="s">
        <v>223</v>
      </c>
      <c r="H119" s="83" t="s">
        <v>244</v>
      </c>
      <c r="I119" s="83">
        <v>1.0</v>
      </c>
      <c r="J119" s="83">
        <v>0.0</v>
      </c>
      <c r="K119" s="82"/>
      <c r="L119" s="82">
        <f t="shared" si="66"/>
        <v>0</v>
      </c>
      <c r="M119" s="82">
        <f t="shared" si="67"/>
        <v>1</v>
      </c>
      <c r="N119" s="84">
        <f t="shared" ref="N119:N126" si="69">(M119-L119)/(2^D119)</f>
        <v>0.5</v>
      </c>
    </row>
    <row r="120">
      <c r="A120" s="81"/>
      <c r="B120" s="82"/>
      <c r="C120" s="83">
        <f t="shared" si="68"/>
        <v>2</v>
      </c>
      <c r="D120" s="83">
        <v>1.0</v>
      </c>
      <c r="E120" s="83" t="s">
        <v>360</v>
      </c>
      <c r="F120" s="83" t="s">
        <v>361</v>
      </c>
      <c r="G120" s="83" t="s">
        <v>223</v>
      </c>
      <c r="H120" s="83" t="s">
        <v>244</v>
      </c>
      <c r="I120" s="83">
        <v>1.0</v>
      </c>
      <c r="J120" s="83">
        <v>0.0</v>
      </c>
      <c r="K120" s="82"/>
      <c r="L120" s="82">
        <f t="shared" si="66"/>
        <v>0</v>
      </c>
      <c r="M120" s="82">
        <f t="shared" si="67"/>
        <v>1</v>
      </c>
      <c r="N120" s="84">
        <f t="shared" si="69"/>
        <v>0.5</v>
      </c>
    </row>
    <row r="121">
      <c r="A121" s="81"/>
      <c r="B121" s="82"/>
      <c r="C121" s="83">
        <f t="shared" si="68"/>
        <v>3</v>
      </c>
      <c r="D121" s="83">
        <v>1.0</v>
      </c>
      <c r="E121" s="83" t="s">
        <v>362</v>
      </c>
      <c r="F121" s="83" t="s">
        <v>363</v>
      </c>
      <c r="G121" s="83" t="s">
        <v>223</v>
      </c>
      <c r="H121" s="83" t="s">
        <v>244</v>
      </c>
      <c r="I121" s="83">
        <v>1.0</v>
      </c>
      <c r="J121" s="83">
        <v>0.0</v>
      </c>
      <c r="K121" s="82"/>
      <c r="L121" s="82">
        <f t="shared" si="66"/>
        <v>0</v>
      </c>
      <c r="M121" s="82">
        <f t="shared" si="67"/>
        <v>1</v>
      </c>
      <c r="N121" s="84">
        <f t="shared" si="69"/>
        <v>0.5</v>
      </c>
    </row>
    <row r="122">
      <c r="A122" s="81"/>
      <c r="B122" s="82"/>
      <c r="C122" s="83">
        <f t="shared" si="68"/>
        <v>4</v>
      </c>
      <c r="D122" s="83">
        <v>1.0</v>
      </c>
      <c r="E122" s="83" t="s">
        <v>364</v>
      </c>
      <c r="F122" s="83" t="s">
        <v>365</v>
      </c>
      <c r="G122" s="83" t="s">
        <v>223</v>
      </c>
      <c r="H122" s="83" t="s">
        <v>244</v>
      </c>
      <c r="I122" s="83">
        <v>1.0</v>
      </c>
      <c r="J122" s="83">
        <v>0.0</v>
      </c>
      <c r="K122" s="82"/>
      <c r="L122" s="82">
        <f t="shared" si="66"/>
        <v>0</v>
      </c>
      <c r="M122" s="82">
        <f t="shared" si="67"/>
        <v>1</v>
      </c>
      <c r="N122" s="84">
        <f t="shared" si="69"/>
        <v>0.5</v>
      </c>
    </row>
    <row r="123">
      <c r="A123" s="81"/>
      <c r="B123" s="82"/>
      <c r="C123" s="83">
        <f t="shared" si="68"/>
        <v>5</v>
      </c>
      <c r="D123" s="83">
        <v>1.0</v>
      </c>
      <c r="E123" s="83" t="s">
        <v>366</v>
      </c>
      <c r="F123" s="83" t="s">
        <v>367</v>
      </c>
      <c r="G123" s="83" t="s">
        <v>223</v>
      </c>
      <c r="H123" s="83" t="s">
        <v>244</v>
      </c>
      <c r="I123" s="83">
        <v>1.0</v>
      </c>
      <c r="J123" s="83">
        <v>0.0</v>
      </c>
      <c r="K123" s="82"/>
      <c r="L123" s="82">
        <f t="shared" si="66"/>
        <v>0</v>
      </c>
      <c r="M123" s="82">
        <f t="shared" si="67"/>
        <v>1</v>
      </c>
      <c r="N123" s="84">
        <f t="shared" si="69"/>
        <v>0.5</v>
      </c>
    </row>
    <row r="124">
      <c r="A124" s="81"/>
      <c r="B124" s="82"/>
      <c r="C124" s="83">
        <f t="shared" si="68"/>
        <v>6</v>
      </c>
      <c r="D124" s="83">
        <v>1.0</v>
      </c>
      <c r="E124" s="83" t="s">
        <v>368</v>
      </c>
      <c r="F124" s="83" t="s">
        <v>369</v>
      </c>
      <c r="G124" s="83" t="s">
        <v>223</v>
      </c>
      <c r="H124" s="83" t="s">
        <v>244</v>
      </c>
      <c r="I124" s="83">
        <v>1.0</v>
      </c>
      <c r="J124" s="83">
        <v>0.0</v>
      </c>
      <c r="K124" s="82"/>
      <c r="L124" s="82">
        <f t="shared" si="66"/>
        <v>0</v>
      </c>
      <c r="M124" s="82">
        <f t="shared" si="67"/>
        <v>1</v>
      </c>
      <c r="N124" s="84">
        <f t="shared" si="69"/>
        <v>0.5</v>
      </c>
    </row>
    <row r="125">
      <c r="A125" s="81"/>
      <c r="B125" s="82"/>
      <c r="C125" s="83">
        <f t="shared" si="68"/>
        <v>7</v>
      </c>
      <c r="D125" s="83">
        <v>1.0</v>
      </c>
      <c r="E125" s="83" t="s">
        <v>273</v>
      </c>
      <c r="F125" s="82"/>
      <c r="G125" s="83" t="s">
        <v>223</v>
      </c>
      <c r="H125" s="83" t="s">
        <v>244</v>
      </c>
      <c r="I125" s="82"/>
      <c r="J125" s="83">
        <v>0.0</v>
      </c>
      <c r="K125" s="82"/>
      <c r="L125" s="82">
        <f t="shared" si="66"/>
        <v>0</v>
      </c>
      <c r="M125" s="82">
        <f t="shared" si="67"/>
        <v>0</v>
      </c>
      <c r="N125" s="84">
        <f t="shared" si="69"/>
        <v>0</v>
      </c>
    </row>
    <row r="126">
      <c r="A126" s="81"/>
      <c r="B126" s="82"/>
      <c r="C126" s="83">
        <f>C124+D124</f>
        <v>7</v>
      </c>
      <c r="D126" s="83">
        <v>16.0</v>
      </c>
      <c r="E126" s="83" t="s">
        <v>370</v>
      </c>
      <c r="F126" s="83" t="s">
        <v>371</v>
      </c>
      <c r="G126" s="83" t="s">
        <v>223</v>
      </c>
      <c r="H126" s="83" t="s">
        <v>244</v>
      </c>
      <c r="I126" s="83">
        <v>200.0</v>
      </c>
      <c r="J126" s="83">
        <v>0.0</v>
      </c>
      <c r="K126" s="83" t="s">
        <v>372</v>
      </c>
      <c r="L126" s="82">
        <f t="shared" si="66"/>
        <v>0</v>
      </c>
      <c r="M126" s="82">
        <f t="shared" si="67"/>
        <v>13107000</v>
      </c>
      <c r="N126" s="84">
        <f t="shared" si="69"/>
        <v>199.9969482</v>
      </c>
    </row>
    <row r="127">
      <c r="A127" s="73"/>
      <c r="B127" s="74"/>
      <c r="C127" s="75">
        <f>C126+D126</f>
        <v>23</v>
      </c>
      <c r="D127" s="74"/>
      <c r="E127" s="74"/>
      <c r="F127" s="74"/>
      <c r="G127" s="75"/>
      <c r="H127" s="75"/>
      <c r="I127" s="74"/>
      <c r="J127" s="74"/>
      <c r="K127" s="74"/>
      <c r="L127" s="74">
        <f t="shared" si="66"/>
        <v>0</v>
      </c>
      <c r="M127" s="74"/>
      <c r="N127" s="76"/>
    </row>
    <row r="128">
      <c r="A128" s="91"/>
      <c r="B128" s="92"/>
      <c r="C128" s="92"/>
      <c r="D128" s="92"/>
      <c r="E128" s="92"/>
      <c r="F128" s="92"/>
      <c r="G128" s="92"/>
      <c r="H128" s="92"/>
      <c r="I128" s="92"/>
      <c r="J128" s="92"/>
      <c r="K128" s="92"/>
      <c r="L128" s="88"/>
      <c r="M128" s="88"/>
      <c r="N128" s="93"/>
    </row>
    <row r="129">
      <c r="A129" s="69" t="s">
        <v>149</v>
      </c>
      <c r="B129" s="70">
        <v>8.0</v>
      </c>
      <c r="C129" s="70">
        <v>0.0</v>
      </c>
      <c r="D129" s="70">
        <v>8.0</v>
      </c>
      <c r="E129" s="70" t="s">
        <v>338</v>
      </c>
      <c r="F129" s="70" t="s">
        <v>339</v>
      </c>
      <c r="G129" s="70" t="s">
        <v>223</v>
      </c>
      <c r="H129" s="70" t="s">
        <v>244</v>
      </c>
      <c r="I129" s="70">
        <v>50.0</v>
      </c>
      <c r="J129" s="70">
        <v>0.0</v>
      </c>
      <c r="K129" s="70" t="s">
        <v>340</v>
      </c>
      <c r="L129" s="71">
        <f t="shared" ref="L129:L137" si="70">IF(H129="NO", J129, (-(2^(D129-1))+J129)*I129)</f>
        <v>0</v>
      </c>
      <c r="M129" s="71">
        <f t="shared" ref="M129:M136" si="71">IF(H129="NO",(((2^D129)-1+J129)*I129),(((2^(D129-1))-1+J129)*I129))</f>
        <v>12750</v>
      </c>
      <c r="N129" s="72">
        <f>(M129-L129)/(2^(D129-1))</f>
        <v>99.609375</v>
      </c>
    </row>
    <row r="130">
      <c r="A130" s="81"/>
      <c r="B130" s="82"/>
      <c r="C130" s="83">
        <f t="shared" ref="C130:C137" si="72">C129+D129</f>
        <v>8</v>
      </c>
      <c r="D130" s="83">
        <v>8.0</v>
      </c>
      <c r="E130" s="83" t="s">
        <v>341</v>
      </c>
      <c r="F130" s="83" t="s">
        <v>342</v>
      </c>
      <c r="G130" s="83" t="s">
        <v>223</v>
      </c>
      <c r="H130" s="83" t="s">
        <v>244</v>
      </c>
      <c r="I130" s="83">
        <v>50.0</v>
      </c>
      <c r="J130" s="83">
        <v>0.0</v>
      </c>
      <c r="K130" s="83" t="s">
        <v>340</v>
      </c>
      <c r="L130" s="82">
        <f t="shared" si="70"/>
        <v>0</v>
      </c>
      <c r="M130" s="82">
        <f t="shared" si="71"/>
        <v>12750</v>
      </c>
      <c r="N130" s="84">
        <f t="shared" ref="N130:N137" si="73">(M130-L130)/(2^D130)</f>
        <v>49.8046875</v>
      </c>
    </row>
    <row r="131">
      <c r="A131" s="81"/>
      <c r="B131" s="82"/>
      <c r="C131" s="83">
        <f t="shared" si="72"/>
        <v>16</v>
      </c>
      <c r="D131" s="83">
        <v>8.0</v>
      </c>
      <c r="E131" s="83" t="s">
        <v>343</v>
      </c>
      <c r="F131" s="83" t="s">
        <v>344</v>
      </c>
      <c r="G131" s="83" t="s">
        <v>223</v>
      </c>
      <c r="H131" s="83" t="s">
        <v>244</v>
      </c>
      <c r="I131" s="83">
        <v>500.0</v>
      </c>
      <c r="J131" s="83">
        <v>0.0</v>
      </c>
      <c r="K131" s="83" t="s">
        <v>340</v>
      </c>
      <c r="L131" s="82">
        <f t="shared" si="70"/>
        <v>0</v>
      </c>
      <c r="M131" s="82">
        <f t="shared" si="71"/>
        <v>127500</v>
      </c>
      <c r="N131" s="84">
        <f t="shared" si="73"/>
        <v>498.046875</v>
      </c>
    </row>
    <row r="132">
      <c r="A132" s="81"/>
      <c r="B132" s="82"/>
      <c r="C132" s="83">
        <f t="shared" si="72"/>
        <v>24</v>
      </c>
      <c r="D132" s="83">
        <v>8.0</v>
      </c>
      <c r="E132" s="83" t="s">
        <v>345</v>
      </c>
      <c r="F132" s="83" t="s">
        <v>346</v>
      </c>
      <c r="G132" s="83" t="s">
        <v>223</v>
      </c>
      <c r="H132" s="83" t="s">
        <v>244</v>
      </c>
      <c r="I132" s="83">
        <v>500.0</v>
      </c>
      <c r="J132" s="83">
        <v>0.0</v>
      </c>
      <c r="K132" s="83" t="s">
        <v>340</v>
      </c>
      <c r="L132" s="82">
        <f t="shared" si="70"/>
        <v>0</v>
      </c>
      <c r="M132" s="82">
        <f t="shared" si="71"/>
        <v>127500</v>
      </c>
      <c r="N132" s="84">
        <f t="shared" si="73"/>
        <v>498.046875</v>
      </c>
    </row>
    <row r="133">
      <c r="A133" s="81"/>
      <c r="B133" s="82"/>
      <c r="C133" s="83">
        <f t="shared" si="72"/>
        <v>32</v>
      </c>
      <c r="D133" s="83">
        <v>8.0</v>
      </c>
      <c r="E133" s="83" t="s">
        <v>347</v>
      </c>
      <c r="F133" s="83" t="s">
        <v>348</v>
      </c>
      <c r="G133" s="83" t="s">
        <v>223</v>
      </c>
      <c r="H133" s="83" t="s">
        <v>244</v>
      </c>
      <c r="I133" s="83">
        <v>500.0</v>
      </c>
      <c r="J133" s="83">
        <v>0.0</v>
      </c>
      <c r="K133" s="83" t="s">
        <v>340</v>
      </c>
      <c r="L133" s="82">
        <f t="shared" si="70"/>
        <v>0</v>
      </c>
      <c r="M133" s="82">
        <f t="shared" si="71"/>
        <v>127500</v>
      </c>
      <c r="N133" s="84">
        <f t="shared" si="73"/>
        <v>498.046875</v>
      </c>
    </row>
    <row r="134">
      <c r="A134" s="81"/>
      <c r="B134" s="82"/>
      <c r="C134" s="83">
        <f t="shared" si="72"/>
        <v>40</v>
      </c>
      <c r="D134" s="83">
        <v>8.0</v>
      </c>
      <c r="E134" s="83" t="s">
        <v>349</v>
      </c>
      <c r="F134" s="83" t="s">
        <v>350</v>
      </c>
      <c r="G134" s="83" t="s">
        <v>223</v>
      </c>
      <c r="H134" s="83" t="s">
        <v>244</v>
      </c>
      <c r="I134" s="83">
        <v>500.0</v>
      </c>
      <c r="J134" s="83">
        <v>0.0</v>
      </c>
      <c r="K134" s="83" t="s">
        <v>340</v>
      </c>
      <c r="L134" s="82">
        <f t="shared" si="70"/>
        <v>0</v>
      </c>
      <c r="M134" s="82">
        <f t="shared" si="71"/>
        <v>127500</v>
      </c>
      <c r="N134" s="84">
        <f t="shared" si="73"/>
        <v>498.046875</v>
      </c>
    </row>
    <row r="135">
      <c r="A135" s="81"/>
      <c r="B135" s="82"/>
      <c r="C135" s="83">
        <f t="shared" si="72"/>
        <v>48</v>
      </c>
      <c r="D135" s="83">
        <v>12.0</v>
      </c>
      <c r="E135" s="83" t="s">
        <v>351</v>
      </c>
      <c r="F135" s="83" t="s">
        <v>352</v>
      </c>
      <c r="G135" s="83" t="s">
        <v>223</v>
      </c>
      <c r="H135" s="83" t="s">
        <v>244</v>
      </c>
      <c r="I135" s="83">
        <v>4.0</v>
      </c>
      <c r="J135" s="83">
        <v>0.0</v>
      </c>
      <c r="K135" s="83" t="s">
        <v>353</v>
      </c>
      <c r="L135" s="82">
        <f t="shared" si="70"/>
        <v>0</v>
      </c>
      <c r="M135" s="82">
        <f t="shared" si="71"/>
        <v>16380</v>
      </c>
      <c r="N135" s="84">
        <f t="shared" si="73"/>
        <v>3.999023438</v>
      </c>
    </row>
    <row r="136">
      <c r="A136" s="81"/>
      <c r="B136" s="82"/>
      <c r="C136" s="83">
        <f t="shared" si="72"/>
        <v>60</v>
      </c>
      <c r="D136" s="83">
        <v>4.0</v>
      </c>
      <c r="E136" s="83" t="s">
        <v>354</v>
      </c>
      <c r="F136" s="83" t="s">
        <v>355</v>
      </c>
      <c r="G136" s="83" t="s">
        <v>223</v>
      </c>
      <c r="H136" s="83" t="s">
        <v>244</v>
      </c>
      <c r="I136" s="83">
        <v>1.0</v>
      </c>
      <c r="J136" s="83">
        <v>0.0</v>
      </c>
      <c r="K136" s="82"/>
      <c r="L136" s="82">
        <f t="shared" si="70"/>
        <v>0</v>
      </c>
      <c r="M136" s="82">
        <f t="shared" si="71"/>
        <v>15</v>
      </c>
      <c r="N136" s="84">
        <f t="shared" si="73"/>
        <v>0.9375</v>
      </c>
    </row>
    <row r="137">
      <c r="A137" s="73"/>
      <c r="B137" s="74"/>
      <c r="C137" s="75">
        <f t="shared" si="72"/>
        <v>64</v>
      </c>
      <c r="D137" s="74"/>
      <c r="E137" s="74"/>
      <c r="F137" s="74"/>
      <c r="G137" s="75"/>
      <c r="H137" s="75"/>
      <c r="I137" s="74"/>
      <c r="J137" s="74"/>
      <c r="K137" s="74"/>
      <c r="L137" s="74">
        <f t="shared" si="70"/>
        <v>0</v>
      </c>
      <c r="M137" s="74"/>
      <c r="N137" s="76">
        <f t="shared" si="73"/>
        <v>0</v>
      </c>
    </row>
    <row r="138">
      <c r="A138" s="100"/>
      <c r="B138" s="88"/>
      <c r="C138" s="92"/>
      <c r="D138" s="88"/>
      <c r="E138" s="88"/>
      <c r="F138" s="88"/>
      <c r="G138" s="88"/>
      <c r="H138" s="88"/>
      <c r="I138" s="88"/>
      <c r="J138" s="88"/>
      <c r="K138" s="88"/>
      <c r="L138" s="88"/>
      <c r="M138" s="88"/>
      <c r="N138" s="93"/>
    </row>
    <row r="139">
      <c r="A139" s="69" t="s">
        <v>170</v>
      </c>
      <c r="B139" s="70">
        <v>8.0</v>
      </c>
      <c r="C139" s="70">
        <v>0.0</v>
      </c>
      <c r="D139" s="70">
        <v>8.0</v>
      </c>
      <c r="E139" s="70" t="s">
        <v>338</v>
      </c>
      <c r="F139" s="70" t="s">
        <v>339</v>
      </c>
      <c r="G139" s="70" t="s">
        <v>223</v>
      </c>
      <c r="H139" s="70" t="s">
        <v>244</v>
      </c>
      <c r="I139" s="70">
        <v>50.0</v>
      </c>
      <c r="J139" s="70">
        <v>0.0</v>
      </c>
      <c r="K139" s="70" t="s">
        <v>340</v>
      </c>
      <c r="L139" s="71">
        <f t="shared" ref="L139:L147" si="74">IF(H139="NO", J139, (-(2^(D139-1))+J139)*I139)</f>
        <v>0</v>
      </c>
      <c r="M139" s="71">
        <f t="shared" ref="M139:M146" si="75">IF(H139="NO",(((2^D139)-1+J139)*I139),(((2^(D139-1))-1+J139)*I139))</f>
        <v>12750</v>
      </c>
      <c r="N139" s="72">
        <f>(M139-L139)/(2^(D139-1))</f>
        <v>99.609375</v>
      </c>
    </row>
    <row r="140">
      <c r="A140" s="81"/>
      <c r="B140" s="82"/>
      <c r="C140" s="83">
        <f t="shared" ref="C140:C147" si="76">C139+D139</f>
        <v>8</v>
      </c>
      <c r="D140" s="83">
        <v>8.0</v>
      </c>
      <c r="E140" s="83" t="s">
        <v>341</v>
      </c>
      <c r="F140" s="83" t="s">
        <v>342</v>
      </c>
      <c r="G140" s="83" t="s">
        <v>223</v>
      </c>
      <c r="H140" s="83" t="s">
        <v>244</v>
      </c>
      <c r="I140" s="83">
        <v>50.0</v>
      </c>
      <c r="J140" s="83">
        <v>0.0</v>
      </c>
      <c r="K140" s="83" t="s">
        <v>340</v>
      </c>
      <c r="L140" s="82">
        <f t="shared" si="74"/>
        <v>0</v>
      </c>
      <c r="M140" s="82">
        <f t="shared" si="75"/>
        <v>12750</v>
      </c>
      <c r="N140" s="84">
        <f t="shared" ref="N140:N147" si="77">(M140-L140)/(2^D140)</f>
        <v>49.8046875</v>
      </c>
    </row>
    <row r="141">
      <c r="A141" s="81"/>
      <c r="B141" s="82"/>
      <c r="C141" s="83">
        <f t="shared" si="76"/>
        <v>16</v>
      </c>
      <c r="D141" s="83">
        <v>8.0</v>
      </c>
      <c r="E141" s="83" t="s">
        <v>343</v>
      </c>
      <c r="F141" s="83" t="s">
        <v>344</v>
      </c>
      <c r="G141" s="83" t="s">
        <v>223</v>
      </c>
      <c r="H141" s="83" t="s">
        <v>244</v>
      </c>
      <c r="I141" s="83">
        <v>500.0</v>
      </c>
      <c r="J141" s="83">
        <v>0.0</v>
      </c>
      <c r="K141" s="83" t="s">
        <v>340</v>
      </c>
      <c r="L141" s="82">
        <f t="shared" si="74"/>
        <v>0</v>
      </c>
      <c r="M141" s="82">
        <f t="shared" si="75"/>
        <v>127500</v>
      </c>
      <c r="N141" s="84">
        <f t="shared" si="77"/>
        <v>498.046875</v>
      </c>
    </row>
    <row r="142">
      <c r="A142" s="81"/>
      <c r="B142" s="82"/>
      <c r="C142" s="83">
        <f t="shared" si="76"/>
        <v>24</v>
      </c>
      <c r="D142" s="83">
        <v>8.0</v>
      </c>
      <c r="E142" s="83" t="s">
        <v>345</v>
      </c>
      <c r="F142" s="83" t="s">
        <v>346</v>
      </c>
      <c r="G142" s="83" t="s">
        <v>223</v>
      </c>
      <c r="H142" s="83" t="s">
        <v>244</v>
      </c>
      <c r="I142" s="83">
        <v>500.0</v>
      </c>
      <c r="J142" s="83">
        <v>0.0</v>
      </c>
      <c r="K142" s="83" t="s">
        <v>340</v>
      </c>
      <c r="L142" s="82">
        <f t="shared" si="74"/>
        <v>0</v>
      </c>
      <c r="M142" s="82">
        <f t="shared" si="75"/>
        <v>127500</v>
      </c>
      <c r="N142" s="84">
        <f t="shared" si="77"/>
        <v>498.046875</v>
      </c>
    </row>
    <row r="143">
      <c r="A143" s="81"/>
      <c r="B143" s="82"/>
      <c r="C143" s="83">
        <f t="shared" si="76"/>
        <v>32</v>
      </c>
      <c r="D143" s="83">
        <v>8.0</v>
      </c>
      <c r="E143" s="83" t="s">
        <v>347</v>
      </c>
      <c r="F143" s="83" t="s">
        <v>348</v>
      </c>
      <c r="G143" s="83" t="s">
        <v>223</v>
      </c>
      <c r="H143" s="83" t="s">
        <v>244</v>
      </c>
      <c r="I143" s="83">
        <v>500.0</v>
      </c>
      <c r="J143" s="83">
        <v>0.0</v>
      </c>
      <c r="K143" s="83" t="s">
        <v>340</v>
      </c>
      <c r="L143" s="82">
        <f t="shared" si="74"/>
        <v>0</v>
      </c>
      <c r="M143" s="82">
        <f t="shared" si="75"/>
        <v>127500</v>
      </c>
      <c r="N143" s="84">
        <f t="shared" si="77"/>
        <v>498.046875</v>
      </c>
    </row>
    <row r="144">
      <c r="A144" s="81"/>
      <c r="B144" s="82"/>
      <c r="C144" s="83">
        <f t="shared" si="76"/>
        <v>40</v>
      </c>
      <c r="D144" s="83">
        <v>8.0</v>
      </c>
      <c r="E144" s="83" t="s">
        <v>349</v>
      </c>
      <c r="F144" s="83" t="s">
        <v>350</v>
      </c>
      <c r="G144" s="83" t="s">
        <v>223</v>
      </c>
      <c r="H144" s="83" t="s">
        <v>244</v>
      </c>
      <c r="I144" s="83">
        <v>500.0</v>
      </c>
      <c r="J144" s="83">
        <v>0.0</v>
      </c>
      <c r="K144" s="83" t="s">
        <v>340</v>
      </c>
      <c r="L144" s="82">
        <f t="shared" si="74"/>
        <v>0</v>
      </c>
      <c r="M144" s="82">
        <f t="shared" si="75"/>
        <v>127500</v>
      </c>
      <c r="N144" s="84">
        <f t="shared" si="77"/>
        <v>498.046875</v>
      </c>
    </row>
    <row r="145">
      <c r="A145" s="81"/>
      <c r="B145" s="82"/>
      <c r="C145" s="83">
        <f t="shared" si="76"/>
        <v>48</v>
      </c>
      <c r="D145" s="83">
        <v>12.0</v>
      </c>
      <c r="E145" s="83" t="s">
        <v>351</v>
      </c>
      <c r="F145" s="83" t="s">
        <v>352</v>
      </c>
      <c r="G145" s="83" t="s">
        <v>223</v>
      </c>
      <c r="H145" s="83" t="s">
        <v>244</v>
      </c>
      <c r="I145" s="83">
        <v>4.0</v>
      </c>
      <c r="J145" s="83">
        <v>0.0</v>
      </c>
      <c r="K145" s="83" t="s">
        <v>353</v>
      </c>
      <c r="L145" s="82">
        <f t="shared" si="74"/>
        <v>0</v>
      </c>
      <c r="M145" s="82">
        <f t="shared" si="75"/>
        <v>16380</v>
      </c>
      <c r="N145" s="84">
        <f t="shared" si="77"/>
        <v>3.999023438</v>
      </c>
    </row>
    <row r="146">
      <c r="A146" s="81"/>
      <c r="B146" s="82"/>
      <c r="C146" s="83">
        <f t="shared" si="76"/>
        <v>60</v>
      </c>
      <c r="D146" s="83">
        <v>4.0</v>
      </c>
      <c r="E146" s="83" t="s">
        <v>354</v>
      </c>
      <c r="F146" s="83" t="s">
        <v>355</v>
      </c>
      <c r="G146" s="83" t="s">
        <v>223</v>
      </c>
      <c r="H146" s="83" t="s">
        <v>244</v>
      </c>
      <c r="I146" s="83">
        <v>1.0</v>
      </c>
      <c r="J146" s="83">
        <v>0.0</v>
      </c>
      <c r="K146" s="82"/>
      <c r="L146" s="82">
        <f t="shared" si="74"/>
        <v>0</v>
      </c>
      <c r="M146" s="82">
        <f t="shared" si="75"/>
        <v>15</v>
      </c>
      <c r="N146" s="84">
        <f t="shared" si="77"/>
        <v>0.9375</v>
      </c>
    </row>
    <row r="147">
      <c r="A147" s="73"/>
      <c r="B147" s="74"/>
      <c r="C147" s="75">
        <f t="shared" si="76"/>
        <v>64</v>
      </c>
      <c r="D147" s="74"/>
      <c r="E147" s="74"/>
      <c r="F147" s="74"/>
      <c r="G147" s="75"/>
      <c r="H147" s="75"/>
      <c r="I147" s="74"/>
      <c r="J147" s="74"/>
      <c r="K147" s="74"/>
      <c r="L147" s="74">
        <f t="shared" si="74"/>
        <v>0</v>
      </c>
      <c r="M147" s="74"/>
      <c r="N147" s="76">
        <f t="shared" si="77"/>
        <v>0</v>
      </c>
    </row>
    <row r="148">
      <c r="A148" s="100"/>
      <c r="B148" s="88"/>
      <c r="C148" s="92"/>
      <c r="D148" s="88"/>
      <c r="E148" s="88"/>
      <c r="F148" s="88"/>
      <c r="G148" s="88"/>
      <c r="H148" s="88"/>
      <c r="I148" s="88"/>
      <c r="J148" s="88"/>
      <c r="K148" s="88"/>
      <c r="L148" s="88"/>
      <c r="M148" s="88"/>
      <c r="N148" s="93"/>
    </row>
    <row r="149">
      <c r="A149" s="69" t="s">
        <v>66</v>
      </c>
      <c r="B149" s="70">
        <v>8.0</v>
      </c>
      <c r="C149" s="70">
        <v>0.0</v>
      </c>
      <c r="D149" s="70">
        <v>8.0</v>
      </c>
      <c r="E149" s="70" t="s">
        <v>373</v>
      </c>
      <c r="F149" s="70" t="s">
        <v>374</v>
      </c>
      <c r="G149" s="70" t="s">
        <v>223</v>
      </c>
      <c r="H149" s="70" t="s">
        <v>244</v>
      </c>
      <c r="I149" s="70">
        <v>1.0</v>
      </c>
      <c r="J149" s="70">
        <v>0.0</v>
      </c>
      <c r="K149" s="70"/>
      <c r="L149" s="71">
        <f t="shared" ref="L149:L154" si="78">IF(H149="NO", J149, (-(2^(D149-1))+J149)*I149)</f>
        <v>0</v>
      </c>
      <c r="M149" s="71">
        <f t="shared" ref="M149:M154" si="79">IF(H149="NO",(((2^D149)-1+J149)*I149),(((2^(D149-1))-1+J149)*I149))</f>
        <v>255</v>
      </c>
      <c r="N149" s="72">
        <f t="shared" ref="N149:N154" si="80">(M149-L149)/(2^D149)</f>
        <v>0.99609375</v>
      </c>
    </row>
    <row r="150">
      <c r="A150" s="81"/>
      <c r="B150" s="82"/>
      <c r="C150" s="83">
        <f t="shared" ref="C150:C154" si="81">C149+D149</f>
        <v>8</v>
      </c>
      <c r="D150" s="83">
        <v>16.0</v>
      </c>
      <c r="E150" s="83" t="s">
        <v>375</v>
      </c>
      <c r="F150" s="83" t="s">
        <v>376</v>
      </c>
      <c r="G150" s="83" t="s">
        <v>223</v>
      </c>
      <c r="H150" s="83" t="s">
        <v>244</v>
      </c>
      <c r="I150" s="83">
        <v>1.0E-4</v>
      </c>
      <c r="J150" s="83">
        <v>0.0</v>
      </c>
      <c r="K150" s="83" t="s">
        <v>279</v>
      </c>
      <c r="L150" s="82">
        <f t="shared" si="78"/>
        <v>0</v>
      </c>
      <c r="M150" s="82">
        <f t="shared" si="79"/>
        <v>6.5535</v>
      </c>
      <c r="N150" s="124">
        <f t="shared" si="80"/>
        <v>0.00009999847412</v>
      </c>
    </row>
    <row r="151">
      <c r="A151" s="81"/>
      <c r="B151" s="82"/>
      <c r="C151" s="83">
        <f t="shared" si="81"/>
        <v>24</v>
      </c>
      <c r="D151" s="83">
        <v>16.0</v>
      </c>
      <c r="E151" s="83" t="s">
        <v>377</v>
      </c>
      <c r="F151" s="83" t="s">
        <v>378</v>
      </c>
      <c r="G151" s="83" t="s">
        <v>223</v>
      </c>
      <c r="H151" s="83" t="s">
        <v>244</v>
      </c>
      <c r="I151" s="83">
        <v>1.0E-5</v>
      </c>
      <c r="J151" s="83">
        <v>0.0</v>
      </c>
      <c r="K151" s="83" t="s">
        <v>379</v>
      </c>
      <c r="L151" s="82">
        <f t="shared" si="78"/>
        <v>0</v>
      </c>
      <c r="M151" s="82">
        <f t="shared" si="79"/>
        <v>0.65535</v>
      </c>
      <c r="N151" s="124">
        <f t="shared" si="80"/>
        <v>0.000009999847412</v>
      </c>
    </row>
    <row r="152">
      <c r="A152" s="81"/>
      <c r="B152" s="82"/>
      <c r="C152" s="83">
        <f t="shared" si="81"/>
        <v>40</v>
      </c>
      <c r="D152" s="83">
        <v>16.0</v>
      </c>
      <c r="E152" s="83" t="s">
        <v>380</v>
      </c>
      <c r="F152" s="83" t="s">
        <v>381</v>
      </c>
      <c r="G152" s="83" t="s">
        <v>223</v>
      </c>
      <c r="H152" s="83" t="s">
        <v>244</v>
      </c>
      <c r="I152" s="83">
        <v>1.0E-4</v>
      </c>
      <c r="J152" s="83">
        <v>0.0</v>
      </c>
      <c r="K152" s="83"/>
      <c r="L152" s="82">
        <f t="shared" si="78"/>
        <v>0</v>
      </c>
      <c r="M152" s="82">
        <f t="shared" si="79"/>
        <v>6.5535</v>
      </c>
      <c r="N152" s="124">
        <f t="shared" si="80"/>
        <v>0.00009999847412</v>
      </c>
    </row>
    <row r="153">
      <c r="A153" s="81"/>
      <c r="B153" s="82"/>
      <c r="C153" s="83">
        <f t="shared" si="81"/>
        <v>56</v>
      </c>
      <c r="D153" s="83">
        <v>8.0</v>
      </c>
      <c r="E153" s="83" t="s">
        <v>382</v>
      </c>
      <c r="F153" s="83"/>
      <c r="G153" s="83" t="s">
        <v>223</v>
      </c>
      <c r="H153" s="83" t="s">
        <v>244</v>
      </c>
      <c r="I153" s="83">
        <v>1.0</v>
      </c>
      <c r="J153" s="83">
        <v>0.0</v>
      </c>
      <c r="K153" s="83"/>
      <c r="L153" s="82">
        <f t="shared" si="78"/>
        <v>0</v>
      </c>
      <c r="M153" s="82">
        <f t="shared" si="79"/>
        <v>255</v>
      </c>
      <c r="N153" s="84">
        <f t="shared" si="80"/>
        <v>0.99609375</v>
      </c>
    </row>
    <row r="154">
      <c r="A154" s="73"/>
      <c r="B154" s="74"/>
      <c r="C154" s="83">
        <f t="shared" si="81"/>
        <v>64</v>
      </c>
      <c r="D154" s="75"/>
      <c r="E154" s="75"/>
      <c r="F154" s="75"/>
      <c r="G154" s="75"/>
      <c r="H154" s="75"/>
      <c r="I154" s="75"/>
      <c r="J154" s="75"/>
      <c r="K154" s="75"/>
      <c r="L154" s="74">
        <f t="shared" si="78"/>
        <v>0</v>
      </c>
      <c r="M154" s="74">
        <f t="shared" si="79"/>
        <v>0</v>
      </c>
      <c r="N154" s="76">
        <f t="shared" si="80"/>
        <v>0</v>
      </c>
    </row>
    <row r="155">
      <c r="A155" s="125"/>
      <c r="B155" s="126"/>
      <c r="C155" s="126"/>
      <c r="D155" s="126"/>
      <c r="E155" s="126"/>
      <c r="F155" s="126"/>
      <c r="G155" s="126"/>
      <c r="H155" s="126"/>
      <c r="I155" s="126"/>
      <c r="J155" s="126"/>
      <c r="K155" s="126"/>
      <c r="L155" s="89"/>
      <c r="M155" s="89"/>
      <c r="N155" s="127"/>
    </row>
    <row r="156">
      <c r="A156" s="69" t="s">
        <v>73</v>
      </c>
      <c r="B156" s="70">
        <v>8.0</v>
      </c>
      <c r="C156" s="70">
        <v>0.0</v>
      </c>
      <c r="D156" s="70">
        <v>16.0</v>
      </c>
      <c r="E156" s="70" t="s">
        <v>383</v>
      </c>
      <c r="F156" s="70" t="s">
        <v>384</v>
      </c>
      <c r="G156" s="70" t="s">
        <v>223</v>
      </c>
      <c r="H156" s="70" t="s">
        <v>244</v>
      </c>
      <c r="I156" s="70">
        <v>0.1</v>
      </c>
      <c r="J156" s="70">
        <v>0.0</v>
      </c>
      <c r="K156" s="70" t="s">
        <v>385</v>
      </c>
      <c r="L156" s="71">
        <f t="shared" ref="L156:L161" si="82">IF(H156="NO", J156, (-(2^(D156-1))+J156)*I156)</f>
        <v>0</v>
      </c>
      <c r="M156" s="71">
        <f t="shared" ref="M156:M161" si="83">IF(H156="NO",(((2^D156)-1+J156)*I156),(((2^(D156-1))-1+J156)*I156))</f>
        <v>6553.5</v>
      </c>
      <c r="N156" s="72">
        <f t="shared" ref="N156:N161" si="84">(M156-L156)/(2^D156)</f>
        <v>0.09999847412</v>
      </c>
    </row>
    <row r="157">
      <c r="A157" s="81"/>
      <c r="B157" s="82"/>
      <c r="C157" s="83">
        <f t="shared" ref="C157:C161" si="85">C156+D156</f>
        <v>16</v>
      </c>
      <c r="D157" s="83">
        <v>16.0</v>
      </c>
      <c r="E157" s="83" t="s">
        <v>386</v>
      </c>
      <c r="F157" s="83"/>
      <c r="G157" s="83" t="s">
        <v>223</v>
      </c>
      <c r="H157" s="83" t="s">
        <v>244</v>
      </c>
      <c r="I157" s="83">
        <v>0.1</v>
      </c>
      <c r="J157" s="83">
        <v>0.0</v>
      </c>
      <c r="K157" s="83" t="s">
        <v>387</v>
      </c>
      <c r="L157" s="82">
        <f t="shared" si="82"/>
        <v>0</v>
      </c>
      <c r="M157" s="82">
        <f t="shared" si="83"/>
        <v>6553.5</v>
      </c>
      <c r="N157" s="84">
        <f t="shared" si="84"/>
        <v>0.09999847412</v>
      </c>
    </row>
    <row r="158">
      <c r="A158" s="81"/>
      <c r="B158" s="82"/>
      <c r="C158" s="83">
        <f t="shared" si="85"/>
        <v>32</v>
      </c>
      <c r="D158" s="83">
        <v>8.0</v>
      </c>
      <c r="E158" s="83" t="s">
        <v>388</v>
      </c>
      <c r="F158" s="83" t="s">
        <v>389</v>
      </c>
      <c r="G158" s="83" t="s">
        <v>223</v>
      </c>
      <c r="H158" s="83" t="s">
        <v>244</v>
      </c>
      <c r="I158" s="83">
        <v>1.0</v>
      </c>
      <c r="J158" s="83">
        <v>0.0</v>
      </c>
      <c r="K158" s="83" t="s">
        <v>237</v>
      </c>
      <c r="L158" s="82">
        <f t="shared" si="82"/>
        <v>0</v>
      </c>
      <c r="M158" s="82">
        <f t="shared" si="83"/>
        <v>255</v>
      </c>
      <c r="N158" s="84">
        <f t="shared" si="84"/>
        <v>0.99609375</v>
      </c>
    </row>
    <row r="159">
      <c r="A159" s="81"/>
      <c r="B159" s="82"/>
      <c r="C159" s="83">
        <f t="shared" si="85"/>
        <v>40</v>
      </c>
      <c r="D159" s="83">
        <v>16.0</v>
      </c>
      <c r="E159" s="83" t="s">
        <v>390</v>
      </c>
      <c r="F159" s="83" t="s">
        <v>391</v>
      </c>
      <c r="G159" s="83" t="s">
        <v>223</v>
      </c>
      <c r="H159" s="83" t="s">
        <v>244</v>
      </c>
      <c r="I159" s="83">
        <v>1.0</v>
      </c>
      <c r="J159" s="83">
        <v>0.0</v>
      </c>
      <c r="K159" s="83"/>
      <c r="L159" s="82">
        <f t="shared" si="82"/>
        <v>0</v>
      </c>
      <c r="M159" s="82">
        <f t="shared" si="83"/>
        <v>65535</v>
      </c>
      <c r="N159" s="84">
        <f t="shared" si="84"/>
        <v>0.9999847412</v>
      </c>
    </row>
    <row r="160">
      <c r="A160" s="81"/>
      <c r="B160" s="82"/>
      <c r="C160" s="83">
        <f t="shared" si="85"/>
        <v>56</v>
      </c>
      <c r="D160" s="83">
        <v>8.0</v>
      </c>
      <c r="E160" s="83" t="s">
        <v>382</v>
      </c>
      <c r="F160" s="83"/>
      <c r="G160" s="83" t="s">
        <v>223</v>
      </c>
      <c r="H160" s="83" t="s">
        <v>244</v>
      </c>
      <c r="I160" s="83">
        <v>1.0</v>
      </c>
      <c r="J160" s="83">
        <v>1720.0</v>
      </c>
      <c r="K160" s="83"/>
      <c r="L160" s="82">
        <f t="shared" si="82"/>
        <v>1720</v>
      </c>
      <c r="M160" s="82">
        <f t="shared" si="83"/>
        <v>1975</v>
      </c>
      <c r="N160" s="84">
        <f t="shared" si="84"/>
        <v>0.99609375</v>
      </c>
    </row>
    <row r="161">
      <c r="A161" s="73"/>
      <c r="B161" s="74"/>
      <c r="C161" s="83">
        <f t="shared" si="85"/>
        <v>64</v>
      </c>
      <c r="D161" s="75"/>
      <c r="E161" s="75"/>
      <c r="F161" s="75"/>
      <c r="G161" s="75"/>
      <c r="H161" s="75"/>
      <c r="I161" s="75"/>
      <c r="J161" s="75"/>
      <c r="K161" s="75"/>
      <c r="L161" s="74">
        <f t="shared" si="82"/>
        <v>0</v>
      </c>
      <c r="M161" s="74">
        <f t="shared" si="83"/>
        <v>0</v>
      </c>
      <c r="N161" s="76">
        <f t="shared" si="84"/>
        <v>0</v>
      </c>
    </row>
    <row r="162">
      <c r="A162" s="125"/>
      <c r="B162" s="126"/>
      <c r="C162" s="126"/>
      <c r="D162" s="126"/>
      <c r="E162" s="126"/>
      <c r="F162" s="126"/>
      <c r="G162" s="126"/>
      <c r="H162" s="126"/>
      <c r="I162" s="126"/>
      <c r="J162" s="126"/>
      <c r="K162" s="126"/>
      <c r="L162" s="89"/>
      <c r="M162" s="89"/>
      <c r="N162" s="127"/>
    </row>
    <row r="163">
      <c r="A163" s="69" t="s">
        <v>73</v>
      </c>
      <c r="B163" s="70">
        <v>8.0</v>
      </c>
      <c r="C163" s="70">
        <v>0.0</v>
      </c>
      <c r="D163" s="70">
        <v>16.0</v>
      </c>
      <c r="E163" s="70" t="s">
        <v>383</v>
      </c>
      <c r="F163" s="70" t="s">
        <v>384</v>
      </c>
      <c r="G163" s="70" t="s">
        <v>223</v>
      </c>
      <c r="H163" s="70" t="s">
        <v>244</v>
      </c>
      <c r="I163" s="70">
        <v>0.1</v>
      </c>
      <c r="J163" s="70">
        <v>0.0</v>
      </c>
      <c r="K163" s="70" t="s">
        <v>385</v>
      </c>
      <c r="L163" s="71">
        <f t="shared" ref="L163:L168" si="86">IF(H163="NO", J163, (-(2^(D163-1))+J163)*I163)</f>
        <v>0</v>
      </c>
      <c r="M163" s="71">
        <f t="shared" ref="M163:M168" si="87">IF(H163="NO",(((2^D163)-1+J163)*I163),(((2^(D163-1))-1+J163)*I163))</f>
        <v>6553.5</v>
      </c>
      <c r="N163" s="72">
        <f t="shared" ref="N163:N168" si="88">(M163-L163)/(2^D163)</f>
        <v>0.09999847412</v>
      </c>
    </row>
    <row r="164">
      <c r="A164" s="81"/>
      <c r="B164" s="82"/>
      <c r="C164" s="83">
        <v>16.0</v>
      </c>
      <c r="D164" s="83">
        <v>16.0</v>
      </c>
      <c r="E164" s="83" t="s">
        <v>392</v>
      </c>
      <c r="F164" s="83" t="s">
        <v>393</v>
      </c>
      <c r="G164" s="83" t="s">
        <v>223</v>
      </c>
      <c r="H164" s="83" t="s">
        <v>244</v>
      </c>
      <c r="I164" s="83">
        <v>0.1</v>
      </c>
      <c r="J164" s="83">
        <v>0.0</v>
      </c>
      <c r="K164" s="83" t="s">
        <v>387</v>
      </c>
      <c r="L164" s="82">
        <f t="shared" si="86"/>
        <v>0</v>
      </c>
      <c r="M164" s="82">
        <f t="shared" si="87"/>
        <v>6553.5</v>
      </c>
      <c r="N164" s="84">
        <f t="shared" si="88"/>
        <v>0.09999847412</v>
      </c>
    </row>
    <row r="165">
      <c r="A165" s="81"/>
      <c r="B165" s="82"/>
      <c r="C165" s="83">
        <v>32.0</v>
      </c>
      <c r="D165" s="83">
        <v>8.0</v>
      </c>
      <c r="E165" s="83" t="s">
        <v>394</v>
      </c>
      <c r="F165" s="83" t="s">
        <v>389</v>
      </c>
      <c r="G165" s="83" t="s">
        <v>223</v>
      </c>
      <c r="H165" s="83" t="s">
        <v>244</v>
      </c>
      <c r="I165" s="83">
        <v>1.0</v>
      </c>
      <c r="J165" s="83">
        <v>0.0</v>
      </c>
      <c r="K165" s="83" t="s">
        <v>237</v>
      </c>
      <c r="L165" s="82">
        <f t="shared" si="86"/>
        <v>0</v>
      </c>
      <c r="M165" s="82">
        <f t="shared" si="87"/>
        <v>255</v>
      </c>
      <c r="N165" s="84">
        <f t="shared" si="88"/>
        <v>0.99609375</v>
      </c>
    </row>
    <row r="166">
      <c r="A166" s="81"/>
      <c r="B166" s="82"/>
      <c r="C166" s="83">
        <v>40.0</v>
      </c>
      <c r="D166" s="83">
        <v>16.0</v>
      </c>
      <c r="E166" s="83" t="s">
        <v>395</v>
      </c>
      <c r="F166" s="83" t="s">
        <v>391</v>
      </c>
      <c r="G166" s="83" t="s">
        <v>223</v>
      </c>
      <c r="H166" s="83" t="s">
        <v>244</v>
      </c>
      <c r="I166" s="83">
        <v>1.0</v>
      </c>
      <c r="J166" s="83">
        <v>0.0</v>
      </c>
      <c r="K166" s="83"/>
      <c r="L166" s="82">
        <f t="shared" si="86"/>
        <v>0</v>
      </c>
      <c r="M166" s="82">
        <f t="shared" si="87"/>
        <v>65535</v>
      </c>
      <c r="N166" s="84">
        <f t="shared" si="88"/>
        <v>0.9999847412</v>
      </c>
    </row>
    <row r="167">
      <c r="A167" s="81"/>
      <c r="B167" s="82"/>
      <c r="C167" s="83">
        <v>56.0</v>
      </c>
      <c r="D167" s="83">
        <v>8.0</v>
      </c>
      <c r="E167" s="83" t="s">
        <v>382</v>
      </c>
      <c r="F167" s="83"/>
      <c r="G167" s="83" t="s">
        <v>223</v>
      </c>
      <c r="H167" s="83" t="s">
        <v>244</v>
      </c>
      <c r="I167" s="83">
        <v>1.0</v>
      </c>
      <c r="J167" s="83">
        <v>1720.0</v>
      </c>
      <c r="K167" s="83"/>
      <c r="L167" s="82">
        <f t="shared" si="86"/>
        <v>1720</v>
      </c>
      <c r="M167" s="82">
        <f t="shared" si="87"/>
        <v>1975</v>
      </c>
      <c r="N167" s="84">
        <f t="shared" si="88"/>
        <v>0.99609375</v>
      </c>
    </row>
    <row r="168">
      <c r="A168" s="73"/>
      <c r="B168" s="74"/>
      <c r="C168" s="75">
        <v>64.0</v>
      </c>
      <c r="D168" s="75"/>
      <c r="E168" s="75"/>
      <c r="F168" s="75"/>
      <c r="G168" s="75"/>
      <c r="H168" s="75"/>
      <c r="I168" s="75"/>
      <c r="J168" s="75"/>
      <c r="K168" s="75"/>
      <c r="L168" s="74">
        <f t="shared" si="86"/>
        <v>0</v>
      </c>
      <c r="M168" s="74">
        <f t="shared" si="87"/>
        <v>0</v>
      </c>
      <c r="N168" s="76">
        <f t="shared" si="88"/>
        <v>0</v>
      </c>
    </row>
    <row r="169">
      <c r="A169" s="91"/>
      <c r="B169" s="92"/>
      <c r="C169" s="92"/>
      <c r="D169" s="92"/>
      <c r="E169" s="92"/>
      <c r="F169" s="92"/>
      <c r="G169" s="92"/>
      <c r="H169" s="92"/>
      <c r="I169" s="92"/>
      <c r="J169" s="92"/>
      <c r="K169" s="92"/>
      <c r="L169" s="88"/>
      <c r="M169" s="88"/>
      <c r="N169" s="93"/>
    </row>
    <row r="170">
      <c r="A170" s="69" t="s">
        <v>76</v>
      </c>
      <c r="B170" s="70">
        <v>8.0</v>
      </c>
      <c r="C170" s="70">
        <v>0.0</v>
      </c>
      <c r="D170" s="70">
        <v>16.0</v>
      </c>
      <c r="E170" s="70" t="s">
        <v>396</v>
      </c>
      <c r="F170" s="70" t="s">
        <v>397</v>
      </c>
      <c r="G170" s="70" t="s">
        <v>223</v>
      </c>
      <c r="H170" s="70" t="s">
        <v>244</v>
      </c>
      <c r="I170" s="70">
        <v>1.0</v>
      </c>
      <c r="J170" s="70">
        <v>0.0</v>
      </c>
      <c r="K170" s="70" t="s">
        <v>398</v>
      </c>
      <c r="L170" s="71">
        <f t="shared" ref="L170:L174" si="89">IF(H170="NO", J170, (-(2^(D170-1))+J170)*I170)</f>
        <v>0</v>
      </c>
      <c r="M170" s="71">
        <f t="shared" ref="M170:M174" si="90">IF(H170="NO",(((2^D170)-1+J170)*I170),(((2^(D170-1))-1+J170)*I170))</f>
        <v>65535</v>
      </c>
      <c r="N170" s="72">
        <f t="shared" ref="N170:N174" si="91">(M170-L170)/(2^D170)</f>
        <v>0.9999847412</v>
      </c>
    </row>
    <row r="171">
      <c r="A171" s="81"/>
      <c r="B171" s="82"/>
      <c r="C171" s="83">
        <v>32.0</v>
      </c>
      <c r="D171" s="83">
        <v>8.0</v>
      </c>
      <c r="E171" s="83" t="s">
        <v>399</v>
      </c>
      <c r="F171" s="83" t="s">
        <v>400</v>
      </c>
      <c r="G171" s="83" t="s">
        <v>223</v>
      </c>
      <c r="H171" s="83" t="s">
        <v>244</v>
      </c>
      <c r="I171" s="83">
        <v>1.0</v>
      </c>
      <c r="J171" s="83">
        <v>0.0</v>
      </c>
      <c r="K171" s="83"/>
      <c r="L171" s="82">
        <f t="shared" si="89"/>
        <v>0</v>
      </c>
      <c r="M171" s="82">
        <f t="shared" si="90"/>
        <v>255</v>
      </c>
      <c r="N171" s="84">
        <f t="shared" si="91"/>
        <v>0.99609375</v>
      </c>
    </row>
    <row r="172">
      <c r="A172" s="81"/>
      <c r="B172" s="82"/>
      <c r="C172" s="83">
        <v>40.0</v>
      </c>
      <c r="D172" s="83">
        <v>8.0</v>
      </c>
      <c r="E172" s="83" t="s">
        <v>401</v>
      </c>
      <c r="F172" s="83" t="s">
        <v>400</v>
      </c>
      <c r="G172" s="83" t="s">
        <v>223</v>
      </c>
      <c r="H172" s="83" t="s">
        <v>244</v>
      </c>
      <c r="I172" s="83">
        <v>1.0</v>
      </c>
      <c r="J172" s="83">
        <v>0.0</v>
      </c>
      <c r="K172" s="83"/>
      <c r="L172" s="82">
        <f t="shared" si="89"/>
        <v>0</v>
      </c>
      <c r="M172" s="82">
        <f t="shared" si="90"/>
        <v>255</v>
      </c>
      <c r="N172" s="84">
        <f t="shared" si="91"/>
        <v>0.99609375</v>
      </c>
    </row>
    <row r="173">
      <c r="A173" s="81"/>
      <c r="B173" s="82"/>
      <c r="C173" s="83">
        <v>56.0</v>
      </c>
      <c r="D173" s="83">
        <v>8.0</v>
      </c>
      <c r="E173" s="83" t="s">
        <v>382</v>
      </c>
      <c r="F173" s="83"/>
      <c r="G173" s="83" t="s">
        <v>223</v>
      </c>
      <c r="H173" s="83" t="s">
        <v>244</v>
      </c>
      <c r="I173" s="83">
        <v>1.0</v>
      </c>
      <c r="J173" s="83">
        <v>1721.0</v>
      </c>
      <c r="K173" s="83"/>
      <c r="L173" s="82">
        <f t="shared" si="89"/>
        <v>1721</v>
      </c>
      <c r="M173" s="82">
        <f t="shared" si="90"/>
        <v>1976</v>
      </c>
      <c r="N173" s="84">
        <f t="shared" si="91"/>
        <v>0.99609375</v>
      </c>
    </row>
    <row r="174">
      <c r="A174" s="73"/>
      <c r="B174" s="74"/>
      <c r="C174" s="75">
        <v>64.0</v>
      </c>
      <c r="D174" s="74"/>
      <c r="E174" s="74"/>
      <c r="F174" s="74"/>
      <c r="G174" s="75"/>
      <c r="H174" s="75"/>
      <c r="I174" s="74"/>
      <c r="J174" s="74"/>
      <c r="K174" s="74"/>
      <c r="L174" s="74">
        <f t="shared" si="89"/>
        <v>0</v>
      </c>
      <c r="M174" s="74">
        <f t="shared" si="90"/>
        <v>0</v>
      </c>
      <c r="N174" s="76">
        <f t="shared" si="91"/>
        <v>0</v>
      </c>
    </row>
    <row r="175">
      <c r="A175" s="91"/>
      <c r="B175" s="92"/>
      <c r="C175" s="92"/>
      <c r="D175" s="92"/>
      <c r="E175" s="92"/>
      <c r="F175" s="92"/>
      <c r="G175" s="92"/>
      <c r="H175" s="92"/>
      <c r="I175" s="92"/>
      <c r="J175" s="92"/>
      <c r="K175" s="92"/>
      <c r="L175" s="88"/>
      <c r="M175" s="88"/>
      <c r="N175" s="93"/>
    </row>
    <row r="176">
      <c r="A176" s="69" t="s">
        <v>78</v>
      </c>
      <c r="B176" s="70">
        <v>8.0</v>
      </c>
      <c r="C176" s="70">
        <v>0.0</v>
      </c>
      <c r="D176" s="70">
        <v>16.0</v>
      </c>
      <c r="E176" s="70" t="s">
        <v>402</v>
      </c>
      <c r="F176" s="70" t="s">
        <v>403</v>
      </c>
      <c r="G176" s="70" t="s">
        <v>223</v>
      </c>
      <c r="H176" s="70" t="s">
        <v>244</v>
      </c>
      <c r="I176" s="70">
        <v>0.01</v>
      </c>
      <c r="J176" s="70">
        <v>0.0</v>
      </c>
      <c r="K176" s="70" t="s">
        <v>279</v>
      </c>
      <c r="L176" s="71">
        <f t="shared" ref="L176:L180" si="92">IF(H176="NO", J176, (-(2^(D176-1))+J176)*I176)</f>
        <v>0</v>
      </c>
      <c r="M176" s="71">
        <f t="shared" ref="M176:M180" si="93">IF(H176="NO",(((2^D176)-1+J176)*I176),(((2^(D176-1))-1+J176)*I176))</f>
        <v>655.35</v>
      </c>
      <c r="N176" s="72">
        <f t="shared" ref="N176:N180" si="94">(M176-L176)/(2^D176)</f>
        <v>0.009999847412</v>
      </c>
    </row>
    <row r="177">
      <c r="A177" s="81"/>
      <c r="B177" s="82"/>
      <c r="C177" s="83">
        <f t="shared" ref="C177:C180" si="95">C176+D176</f>
        <v>16</v>
      </c>
      <c r="D177" s="83">
        <v>16.0</v>
      </c>
      <c r="E177" s="83" t="s">
        <v>404</v>
      </c>
      <c r="F177" s="83" t="s">
        <v>405</v>
      </c>
      <c r="G177" s="83" t="s">
        <v>223</v>
      </c>
      <c r="H177" s="83" t="s">
        <v>244</v>
      </c>
      <c r="I177" s="83">
        <v>0.01</v>
      </c>
      <c r="J177" s="83">
        <v>0.0</v>
      </c>
      <c r="K177" s="83" t="s">
        <v>279</v>
      </c>
      <c r="L177" s="82">
        <f t="shared" si="92"/>
        <v>0</v>
      </c>
      <c r="M177" s="82">
        <f t="shared" si="93"/>
        <v>655.35</v>
      </c>
      <c r="N177" s="84">
        <f t="shared" si="94"/>
        <v>0.009999847412</v>
      </c>
    </row>
    <row r="178">
      <c r="A178" s="81"/>
      <c r="B178" s="82"/>
      <c r="C178" s="83">
        <f t="shared" si="95"/>
        <v>32</v>
      </c>
      <c r="D178" s="83">
        <v>16.0</v>
      </c>
      <c r="E178" s="83" t="s">
        <v>406</v>
      </c>
      <c r="F178" s="83" t="s">
        <v>407</v>
      </c>
      <c r="G178" s="83" t="s">
        <v>223</v>
      </c>
      <c r="H178" s="83" t="s">
        <v>244</v>
      </c>
      <c r="I178" s="83">
        <v>0.01</v>
      </c>
      <c r="J178" s="83">
        <v>0.0</v>
      </c>
      <c r="K178" s="83" t="s">
        <v>279</v>
      </c>
      <c r="L178" s="82">
        <f t="shared" si="92"/>
        <v>0</v>
      </c>
      <c r="M178" s="82">
        <f t="shared" si="93"/>
        <v>655.35</v>
      </c>
      <c r="N178" s="84">
        <f t="shared" si="94"/>
        <v>0.009999847412</v>
      </c>
    </row>
    <row r="179">
      <c r="A179" s="81"/>
      <c r="B179" s="82"/>
      <c r="C179" s="83">
        <f t="shared" si="95"/>
        <v>48</v>
      </c>
      <c r="D179" s="83">
        <v>16.0</v>
      </c>
      <c r="E179" s="83" t="s">
        <v>408</v>
      </c>
      <c r="F179" s="83" t="s">
        <v>409</v>
      </c>
      <c r="G179" s="83" t="s">
        <v>223</v>
      </c>
      <c r="H179" s="83" t="s">
        <v>244</v>
      </c>
      <c r="I179" s="83">
        <v>0.001</v>
      </c>
      <c r="J179" s="83">
        <v>0.0</v>
      </c>
      <c r="K179" s="83" t="s">
        <v>279</v>
      </c>
      <c r="L179" s="82">
        <f t="shared" si="92"/>
        <v>0</v>
      </c>
      <c r="M179" s="82">
        <f t="shared" si="93"/>
        <v>65.535</v>
      </c>
      <c r="N179" s="128">
        <f t="shared" si="94"/>
        <v>0.0009999847412</v>
      </c>
    </row>
    <row r="180">
      <c r="A180" s="73"/>
      <c r="B180" s="74"/>
      <c r="C180" s="83">
        <f t="shared" si="95"/>
        <v>64</v>
      </c>
      <c r="D180" s="74"/>
      <c r="E180" s="74"/>
      <c r="F180" s="74"/>
      <c r="G180" s="75"/>
      <c r="H180" s="75"/>
      <c r="I180" s="74"/>
      <c r="J180" s="74"/>
      <c r="K180" s="74"/>
      <c r="L180" s="74">
        <f t="shared" si="92"/>
        <v>0</v>
      </c>
      <c r="M180" s="74">
        <f t="shared" si="93"/>
        <v>0</v>
      </c>
      <c r="N180" s="76">
        <f t="shared" si="94"/>
        <v>0</v>
      </c>
    </row>
    <row r="181">
      <c r="A181" s="125"/>
      <c r="B181" s="126"/>
      <c r="C181" s="126"/>
      <c r="D181" s="126"/>
      <c r="E181" s="126"/>
      <c r="F181" s="126"/>
      <c r="G181" s="126"/>
      <c r="H181" s="126"/>
      <c r="I181" s="126"/>
      <c r="J181" s="126"/>
      <c r="K181" s="126"/>
      <c r="L181" s="89"/>
      <c r="M181" s="89"/>
      <c r="N181" s="127"/>
    </row>
    <row r="182">
      <c r="A182" s="69" t="s">
        <v>81</v>
      </c>
      <c r="B182" s="70">
        <v>8.0</v>
      </c>
      <c r="C182" s="70">
        <v>0.0</v>
      </c>
      <c r="D182" s="70">
        <v>16.0</v>
      </c>
      <c r="E182" s="70" t="s">
        <v>410</v>
      </c>
      <c r="F182" s="70" t="s">
        <v>411</v>
      </c>
      <c r="G182" s="70" t="s">
        <v>223</v>
      </c>
      <c r="H182" s="70" t="s">
        <v>224</v>
      </c>
      <c r="I182" s="70">
        <v>0.005</v>
      </c>
      <c r="J182" s="70">
        <v>0.0</v>
      </c>
      <c r="K182" s="70" t="s">
        <v>412</v>
      </c>
      <c r="L182" s="71">
        <f t="shared" ref="L182:L186" si="96">IF(H182="NO", J182, (-(2^(D182-1))+J182)*I182)</f>
        <v>-163.84</v>
      </c>
      <c r="M182" s="71">
        <f t="shared" ref="M182:M186" si="97">IF(H182="NO",(((2^D182)-1+J182)*I182),(((2^(D182-1))-1+J182)*I182))</f>
        <v>163.835</v>
      </c>
      <c r="N182" s="129">
        <f t="shared" ref="N182:N186" si="98">(M182-L182)/(2^D182)</f>
        <v>0.004999923706</v>
      </c>
    </row>
    <row r="183">
      <c r="A183" s="81"/>
      <c r="B183" s="82"/>
      <c r="C183" s="83">
        <f t="shared" ref="C183:C186" si="99">C182+D182</f>
        <v>16</v>
      </c>
      <c r="D183" s="83">
        <v>16.0</v>
      </c>
      <c r="E183" s="83" t="s">
        <v>413</v>
      </c>
      <c r="F183" s="83" t="s">
        <v>414</v>
      </c>
      <c r="G183" s="83" t="s">
        <v>223</v>
      </c>
      <c r="H183" s="83" t="s">
        <v>224</v>
      </c>
      <c r="I183" s="83">
        <v>0.005</v>
      </c>
      <c r="J183" s="83">
        <v>0.0</v>
      </c>
      <c r="K183" s="83" t="s">
        <v>412</v>
      </c>
      <c r="L183" s="82">
        <f t="shared" si="96"/>
        <v>-163.84</v>
      </c>
      <c r="M183" s="82">
        <f t="shared" si="97"/>
        <v>163.835</v>
      </c>
      <c r="N183" s="128">
        <f t="shared" si="98"/>
        <v>0.004999923706</v>
      </c>
    </row>
    <row r="184">
      <c r="A184" s="81"/>
      <c r="B184" s="82"/>
      <c r="C184" s="83">
        <f t="shared" si="99"/>
        <v>32</v>
      </c>
      <c r="D184" s="83">
        <v>16.0</v>
      </c>
      <c r="E184" s="83" t="s">
        <v>415</v>
      </c>
      <c r="F184" s="83" t="s">
        <v>416</v>
      </c>
      <c r="G184" s="83" t="s">
        <v>223</v>
      </c>
      <c r="H184" s="83" t="s">
        <v>224</v>
      </c>
      <c r="I184" s="83">
        <v>0.005</v>
      </c>
      <c r="J184" s="83">
        <v>0.0</v>
      </c>
      <c r="K184" s="83" t="s">
        <v>412</v>
      </c>
      <c r="L184" s="82">
        <f t="shared" si="96"/>
        <v>-163.84</v>
      </c>
      <c r="M184" s="82">
        <f t="shared" si="97"/>
        <v>163.835</v>
      </c>
      <c r="N184" s="128">
        <f t="shared" si="98"/>
        <v>0.004999923706</v>
      </c>
    </row>
    <row r="185">
      <c r="A185" s="81"/>
      <c r="B185" s="82"/>
      <c r="C185" s="83">
        <f t="shared" si="99"/>
        <v>48</v>
      </c>
      <c r="D185" s="83">
        <v>16.0</v>
      </c>
      <c r="E185" s="83" t="s">
        <v>417</v>
      </c>
      <c r="F185" s="83" t="s">
        <v>418</v>
      </c>
      <c r="G185" s="83" t="s">
        <v>223</v>
      </c>
      <c r="H185" s="83" t="s">
        <v>224</v>
      </c>
      <c r="I185" s="83">
        <v>0.005</v>
      </c>
      <c r="J185" s="83">
        <v>0.0</v>
      </c>
      <c r="K185" s="83" t="s">
        <v>412</v>
      </c>
      <c r="L185" s="82">
        <f t="shared" si="96"/>
        <v>-163.84</v>
      </c>
      <c r="M185" s="82">
        <f t="shared" si="97"/>
        <v>163.835</v>
      </c>
      <c r="N185" s="128">
        <f t="shared" si="98"/>
        <v>0.004999923706</v>
      </c>
    </row>
    <row r="186">
      <c r="A186" s="73"/>
      <c r="B186" s="74"/>
      <c r="C186" s="83">
        <f t="shared" si="99"/>
        <v>64</v>
      </c>
      <c r="D186" s="74"/>
      <c r="E186" s="74"/>
      <c r="F186" s="74"/>
      <c r="G186" s="75"/>
      <c r="H186" s="75"/>
      <c r="I186" s="74"/>
      <c r="J186" s="74"/>
      <c r="K186" s="74"/>
      <c r="L186" s="74">
        <f t="shared" si="96"/>
        <v>0</v>
      </c>
      <c r="M186" s="74">
        <f t="shared" si="97"/>
        <v>0</v>
      </c>
      <c r="N186" s="76">
        <f t="shared" si="98"/>
        <v>0</v>
      </c>
    </row>
    <row r="187">
      <c r="A187" s="125"/>
      <c r="B187" s="126"/>
      <c r="C187" s="126"/>
      <c r="D187" s="126"/>
      <c r="E187" s="126"/>
      <c r="F187" s="126"/>
      <c r="G187" s="126"/>
      <c r="H187" s="126"/>
      <c r="I187" s="126"/>
      <c r="J187" s="126"/>
      <c r="K187" s="126"/>
      <c r="L187" s="89"/>
      <c r="M187" s="89"/>
      <c r="N187" s="127"/>
    </row>
    <row r="188">
      <c r="A188" s="69" t="s">
        <v>84</v>
      </c>
      <c r="B188" s="70">
        <v>8.0</v>
      </c>
      <c r="C188" s="70">
        <v>0.0</v>
      </c>
      <c r="D188" s="70">
        <v>16.0</v>
      </c>
      <c r="E188" s="70" t="s">
        <v>419</v>
      </c>
      <c r="F188" s="70" t="s">
        <v>420</v>
      </c>
      <c r="G188" s="70" t="s">
        <v>223</v>
      </c>
      <c r="H188" s="70" t="s">
        <v>244</v>
      </c>
      <c r="I188" s="70">
        <v>1.0E-4</v>
      </c>
      <c r="J188" s="70">
        <v>0.0</v>
      </c>
      <c r="K188" s="70" t="s">
        <v>279</v>
      </c>
      <c r="L188" s="71">
        <f t="shared" ref="L188:L192" si="100">IF(H188="NO", J188, (-(2^(D188-1))+J188)*I188)</f>
        <v>0</v>
      </c>
      <c r="M188" s="71">
        <f t="shared" ref="M188:M192" si="101">IF(H188="NO",(((2^D188)-1+J188)*I188),(((2^(D188-1))-1+J188)*I188))</f>
        <v>6.5535</v>
      </c>
      <c r="N188" s="130">
        <f t="shared" ref="N188:N192" si="102">(M188-L188)/(2^D188)</f>
        <v>0.00009999847412</v>
      </c>
    </row>
    <row r="189">
      <c r="A189" s="81"/>
      <c r="B189" s="82"/>
      <c r="C189" s="83">
        <f t="shared" ref="C189:C192" si="103">C188+D188</f>
        <v>16</v>
      </c>
      <c r="D189" s="83">
        <v>16.0</v>
      </c>
      <c r="E189" s="83" t="s">
        <v>421</v>
      </c>
      <c r="F189" s="83" t="s">
        <v>422</v>
      </c>
      <c r="G189" s="83" t="s">
        <v>223</v>
      </c>
      <c r="H189" s="83" t="s">
        <v>244</v>
      </c>
      <c r="I189" s="83">
        <v>1.0E-4</v>
      </c>
      <c r="J189" s="83">
        <v>0.0</v>
      </c>
      <c r="K189" s="83" t="s">
        <v>279</v>
      </c>
      <c r="L189" s="82">
        <f t="shared" si="100"/>
        <v>0</v>
      </c>
      <c r="M189" s="82">
        <f t="shared" si="101"/>
        <v>6.5535</v>
      </c>
      <c r="N189" s="131">
        <f t="shared" si="102"/>
        <v>0.00009999847412</v>
      </c>
    </row>
    <row r="190">
      <c r="A190" s="81"/>
      <c r="B190" s="82"/>
      <c r="C190" s="83">
        <f t="shared" si="103"/>
        <v>32</v>
      </c>
      <c r="D190" s="83">
        <v>16.0</v>
      </c>
      <c r="E190" s="83" t="s">
        <v>423</v>
      </c>
      <c r="F190" s="83" t="s">
        <v>424</v>
      </c>
      <c r="G190" s="83" t="s">
        <v>223</v>
      </c>
      <c r="H190" s="83" t="s">
        <v>244</v>
      </c>
      <c r="I190" s="83">
        <v>1.0E-4</v>
      </c>
      <c r="J190" s="83">
        <v>0.0</v>
      </c>
      <c r="K190" s="83" t="s">
        <v>279</v>
      </c>
      <c r="L190" s="82">
        <f t="shared" si="100"/>
        <v>0</v>
      </c>
      <c r="M190" s="82">
        <f t="shared" si="101"/>
        <v>6.5535</v>
      </c>
      <c r="N190" s="131">
        <f t="shared" si="102"/>
        <v>0.00009999847412</v>
      </c>
    </row>
    <row r="191">
      <c r="A191" s="81"/>
      <c r="B191" s="82"/>
      <c r="C191" s="83">
        <f t="shared" si="103"/>
        <v>48</v>
      </c>
      <c r="D191" s="83">
        <v>16.0</v>
      </c>
      <c r="E191" s="83" t="s">
        <v>425</v>
      </c>
      <c r="F191" s="83" t="s">
        <v>426</v>
      </c>
      <c r="G191" s="83" t="s">
        <v>223</v>
      </c>
      <c r="H191" s="83" t="s">
        <v>244</v>
      </c>
      <c r="I191" s="83">
        <v>1.0E-4</v>
      </c>
      <c r="J191" s="83">
        <v>0.0</v>
      </c>
      <c r="K191" s="83" t="s">
        <v>279</v>
      </c>
      <c r="L191" s="82">
        <f t="shared" si="100"/>
        <v>0</v>
      </c>
      <c r="M191" s="82">
        <f t="shared" si="101"/>
        <v>6.5535</v>
      </c>
      <c r="N191" s="131">
        <f t="shared" si="102"/>
        <v>0.00009999847412</v>
      </c>
    </row>
    <row r="192">
      <c r="A192" s="73"/>
      <c r="B192" s="74"/>
      <c r="C192" s="83">
        <f t="shared" si="103"/>
        <v>64</v>
      </c>
      <c r="D192" s="74"/>
      <c r="E192" s="74"/>
      <c r="F192" s="74"/>
      <c r="G192" s="75"/>
      <c r="H192" s="75"/>
      <c r="I192" s="74"/>
      <c r="J192" s="74"/>
      <c r="K192" s="74"/>
      <c r="L192" s="74">
        <f t="shared" si="100"/>
        <v>0</v>
      </c>
      <c r="M192" s="74">
        <f t="shared" si="101"/>
        <v>0</v>
      </c>
      <c r="N192" s="76">
        <f t="shared" si="102"/>
        <v>0</v>
      </c>
    </row>
    <row r="193">
      <c r="A193" s="125"/>
      <c r="B193" s="126"/>
      <c r="C193" s="126"/>
      <c r="D193" s="126"/>
      <c r="E193" s="126"/>
      <c r="F193" s="126"/>
      <c r="G193" s="126"/>
      <c r="H193" s="126"/>
      <c r="I193" s="126"/>
      <c r="J193" s="126"/>
      <c r="K193" s="126"/>
      <c r="L193" s="89"/>
      <c r="M193" s="89"/>
      <c r="N193" s="127"/>
    </row>
    <row r="194">
      <c r="A194" s="69" t="s">
        <v>87</v>
      </c>
      <c r="B194" s="70">
        <v>8.0</v>
      </c>
      <c r="C194" s="70">
        <v>0.0</v>
      </c>
      <c r="D194" s="70">
        <v>16.0</v>
      </c>
      <c r="E194" s="70" t="s">
        <v>427</v>
      </c>
      <c r="F194" s="70" t="s">
        <v>428</v>
      </c>
      <c r="G194" s="70" t="s">
        <v>223</v>
      </c>
      <c r="H194" s="70" t="s">
        <v>244</v>
      </c>
      <c r="I194" s="70">
        <v>1.0E-4</v>
      </c>
      <c r="J194" s="70">
        <v>0.0</v>
      </c>
      <c r="K194" s="70" t="s">
        <v>279</v>
      </c>
      <c r="L194" s="71">
        <f t="shared" ref="L194:L200" si="104">IF(H194="NO", J194, (-(2^(D194-1))+J194)*I194)</f>
        <v>0</v>
      </c>
      <c r="M194" s="71">
        <f t="shared" ref="M194:M200" si="105">IF(H194="NO",(((2^D194)-1+J194)*I194),(((2^(D194-1))-1+J194)*I194))</f>
        <v>6.5535</v>
      </c>
      <c r="N194" s="130">
        <f t="shared" ref="N194:N200" si="106">(M194-L194)/(2^D194)</f>
        <v>0.00009999847412</v>
      </c>
    </row>
    <row r="195">
      <c r="A195" s="81"/>
      <c r="B195" s="82"/>
      <c r="C195" s="83">
        <f t="shared" ref="C195:C200" si="107">C194+D194</f>
        <v>16</v>
      </c>
      <c r="D195" s="83">
        <v>16.0</v>
      </c>
      <c r="E195" s="83" t="s">
        <v>429</v>
      </c>
      <c r="F195" s="83" t="s">
        <v>430</v>
      </c>
      <c r="G195" s="83" t="s">
        <v>223</v>
      </c>
      <c r="H195" s="83" t="s">
        <v>244</v>
      </c>
      <c r="I195" s="83">
        <v>1.0E-4</v>
      </c>
      <c r="J195" s="83">
        <v>0.0</v>
      </c>
      <c r="K195" s="83" t="s">
        <v>279</v>
      </c>
      <c r="L195" s="82">
        <f t="shared" si="104"/>
        <v>0</v>
      </c>
      <c r="M195" s="82">
        <f t="shared" si="105"/>
        <v>6.5535</v>
      </c>
      <c r="N195" s="131">
        <f t="shared" si="106"/>
        <v>0.00009999847412</v>
      </c>
    </row>
    <row r="196">
      <c r="A196" s="81"/>
      <c r="B196" s="82"/>
      <c r="C196" s="83">
        <f t="shared" si="107"/>
        <v>32</v>
      </c>
      <c r="D196" s="83">
        <v>8.0</v>
      </c>
      <c r="E196" s="83" t="s">
        <v>431</v>
      </c>
      <c r="F196" s="83" t="s">
        <v>432</v>
      </c>
      <c r="G196" s="83" t="s">
        <v>223</v>
      </c>
      <c r="H196" s="83" t="s">
        <v>244</v>
      </c>
      <c r="I196" s="83">
        <v>0.02</v>
      </c>
      <c r="J196" s="83">
        <v>0.0</v>
      </c>
      <c r="K196" s="83" t="s">
        <v>279</v>
      </c>
      <c r="L196" s="82">
        <f t="shared" si="104"/>
        <v>0</v>
      </c>
      <c r="M196" s="82">
        <f t="shared" si="105"/>
        <v>5.1</v>
      </c>
      <c r="N196" s="131">
        <f t="shared" si="106"/>
        <v>0.019921875</v>
      </c>
    </row>
    <row r="197">
      <c r="A197" s="81"/>
      <c r="B197" s="82"/>
      <c r="C197" s="83">
        <f t="shared" si="107"/>
        <v>40</v>
      </c>
      <c r="D197" s="83">
        <v>8.0</v>
      </c>
      <c r="E197" s="83" t="s">
        <v>433</v>
      </c>
      <c r="F197" s="83" t="s">
        <v>434</v>
      </c>
      <c r="G197" s="83" t="s">
        <v>223</v>
      </c>
      <c r="H197" s="83" t="s">
        <v>244</v>
      </c>
      <c r="I197" s="83">
        <v>0.02</v>
      </c>
      <c r="J197" s="83">
        <v>0.0</v>
      </c>
      <c r="K197" s="83" t="s">
        <v>279</v>
      </c>
      <c r="L197" s="82">
        <f t="shared" si="104"/>
        <v>0</v>
      </c>
      <c r="M197" s="82">
        <f t="shared" si="105"/>
        <v>5.1</v>
      </c>
      <c r="N197" s="131">
        <f t="shared" si="106"/>
        <v>0.019921875</v>
      </c>
    </row>
    <row r="198">
      <c r="A198" s="132"/>
      <c r="B198" s="133"/>
      <c r="C198" s="83">
        <f t="shared" si="107"/>
        <v>48</v>
      </c>
      <c r="D198" s="134">
        <v>8.0</v>
      </c>
      <c r="E198" s="134" t="s">
        <v>435</v>
      </c>
      <c r="F198" s="134" t="s">
        <v>436</v>
      </c>
      <c r="G198" s="83" t="s">
        <v>223</v>
      </c>
      <c r="H198" s="83" t="s">
        <v>244</v>
      </c>
      <c r="I198" s="83">
        <v>1.0</v>
      </c>
      <c r="J198" s="83">
        <v>0.0</v>
      </c>
      <c r="K198" s="134"/>
      <c r="L198" s="82">
        <f t="shared" si="104"/>
        <v>0</v>
      </c>
      <c r="M198" s="82">
        <f t="shared" si="105"/>
        <v>255</v>
      </c>
      <c r="N198" s="131">
        <f t="shared" si="106"/>
        <v>0.99609375</v>
      </c>
    </row>
    <row r="199">
      <c r="A199" s="132"/>
      <c r="B199" s="133"/>
      <c r="C199" s="83">
        <f t="shared" si="107"/>
        <v>56</v>
      </c>
      <c r="D199" s="134">
        <v>8.0</v>
      </c>
      <c r="E199" s="134" t="s">
        <v>437</v>
      </c>
      <c r="F199" s="134" t="s">
        <v>438</v>
      </c>
      <c r="G199" s="83" t="s">
        <v>223</v>
      </c>
      <c r="H199" s="83" t="s">
        <v>244</v>
      </c>
      <c r="I199" s="83">
        <v>1.0</v>
      </c>
      <c r="J199" s="83">
        <v>0.0</v>
      </c>
      <c r="K199" s="134"/>
      <c r="L199" s="82">
        <f t="shared" si="104"/>
        <v>0</v>
      </c>
      <c r="M199" s="82">
        <f t="shared" si="105"/>
        <v>255</v>
      </c>
      <c r="N199" s="131">
        <f t="shared" si="106"/>
        <v>0.99609375</v>
      </c>
    </row>
    <row r="200">
      <c r="A200" s="73"/>
      <c r="B200" s="74"/>
      <c r="C200" s="83">
        <f t="shared" si="107"/>
        <v>64</v>
      </c>
      <c r="D200" s="74"/>
      <c r="E200" s="74"/>
      <c r="F200" s="74"/>
      <c r="G200" s="75"/>
      <c r="H200" s="75"/>
      <c r="I200" s="74"/>
      <c r="J200" s="74"/>
      <c r="K200" s="74"/>
      <c r="L200" s="74">
        <f t="shared" si="104"/>
        <v>0</v>
      </c>
      <c r="M200" s="74">
        <f t="shared" si="105"/>
        <v>0</v>
      </c>
      <c r="N200" s="76">
        <f t="shared" si="106"/>
        <v>0</v>
      </c>
    </row>
    <row r="201">
      <c r="A201" s="125"/>
      <c r="B201" s="126"/>
      <c r="C201" s="126"/>
      <c r="D201" s="126"/>
      <c r="E201" s="126"/>
      <c r="F201" s="126"/>
      <c r="G201" s="126"/>
      <c r="H201" s="126"/>
      <c r="I201" s="126"/>
      <c r="J201" s="126"/>
      <c r="K201" s="126"/>
      <c r="L201" s="89"/>
      <c r="M201" s="89"/>
      <c r="N201" s="127"/>
    </row>
    <row r="202">
      <c r="A202" s="69" t="s">
        <v>173</v>
      </c>
      <c r="B202" s="70">
        <v>8.0</v>
      </c>
      <c r="C202" s="70">
        <v>0.0</v>
      </c>
      <c r="D202" s="70">
        <v>8.0</v>
      </c>
      <c r="E202" s="70" t="s">
        <v>338</v>
      </c>
      <c r="F202" s="70" t="s">
        <v>339</v>
      </c>
      <c r="G202" s="70" t="s">
        <v>223</v>
      </c>
      <c r="H202" s="70" t="s">
        <v>244</v>
      </c>
      <c r="I202" s="70">
        <v>50.0</v>
      </c>
      <c r="J202" s="70">
        <v>0.0</v>
      </c>
      <c r="K202" s="70" t="s">
        <v>340</v>
      </c>
      <c r="L202" s="71">
        <f t="shared" ref="L202:L210" si="108">IF(H202="NO", J202, (-(2^(D202-1))+J202)*I202)</f>
        <v>0</v>
      </c>
      <c r="M202" s="71">
        <f t="shared" ref="M202:M209" si="109">IF(H202="NO",(((2^D202)-1+J202)*I202),(((2^(D202-1))-1+J202)*I202))</f>
        <v>12750</v>
      </c>
      <c r="N202" s="72">
        <f>(M202-L202)/(2^(D202-1))</f>
        <v>99.609375</v>
      </c>
    </row>
    <row r="203">
      <c r="A203" s="81"/>
      <c r="B203" s="82"/>
      <c r="C203" s="83">
        <f t="shared" ref="C203:C210" si="110">C202+D202</f>
        <v>8</v>
      </c>
      <c r="D203" s="83">
        <v>8.0</v>
      </c>
      <c r="E203" s="83" t="s">
        <v>341</v>
      </c>
      <c r="F203" s="83" t="s">
        <v>342</v>
      </c>
      <c r="G203" s="83" t="s">
        <v>223</v>
      </c>
      <c r="H203" s="83" t="s">
        <v>244</v>
      </c>
      <c r="I203" s="83">
        <v>50.0</v>
      </c>
      <c r="J203" s="83">
        <v>0.0</v>
      </c>
      <c r="K203" s="83" t="s">
        <v>340</v>
      </c>
      <c r="L203" s="82">
        <f t="shared" si="108"/>
        <v>0</v>
      </c>
      <c r="M203" s="82">
        <f t="shared" si="109"/>
        <v>12750</v>
      </c>
      <c r="N203" s="84">
        <f t="shared" ref="N203:N209" si="111">(M203-L203)/(2^D203)</f>
        <v>49.8046875</v>
      </c>
    </row>
    <row r="204">
      <c r="A204" s="81"/>
      <c r="B204" s="82"/>
      <c r="C204" s="83">
        <f t="shared" si="110"/>
        <v>16</v>
      </c>
      <c r="D204" s="83">
        <v>8.0</v>
      </c>
      <c r="E204" s="83" t="s">
        <v>343</v>
      </c>
      <c r="F204" s="83" t="s">
        <v>344</v>
      </c>
      <c r="G204" s="83" t="s">
        <v>223</v>
      </c>
      <c r="H204" s="83" t="s">
        <v>244</v>
      </c>
      <c r="I204" s="83">
        <v>500.0</v>
      </c>
      <c r="J204" s="83">
        <v>0.0</v>
      </c>
      <c r="K204" s="83" t="s">
        <v>340</v>
      </c>
      <c r="L204" s="82">
        <f t="shared" si="108"/>
        <v>0</v>
      </c>
      <c r="M204" s="82">
        <f t="shared" si="109"/>
        <v>127500</v>
      </c>
      <c r="N204" s="84">
        <f t="shared" si="111"/>
        <v>498.046875</v>
      </c>
    </row>
    <row r="205">
      <c r="A205" s="81"/>
      <c r="B205" s="82"/>
      <c r="C205" s="83">
        <f t="shared" si="110"/>
        <v>24</v>
      </c>
      <c r="D205" s="83">
        <v>8.0</v>
      </c>
      <c r="E205" s="83" t="s">
        <v>345</v>
      </c>
      <c r="F205" s="83" t="s">
        <v>346</v>
      </c>
      <c r="G205" s="83" t="s">
        <v>223</v>
      </c>
      <c r="H205" s="83" t="s">
        <v>244</v>
      </c>
      <c r="I205" s="83">
        <v>500.0</v>
      </c>
      <c r="J205" s="83">
        <v>0.0</v>
      </c>
      <c r="K205" s="83" t="s">
        <v>340</v>
      </c>
      <c r="L205" s="82">
        <f t="shared" si="108"/>
        <v>0</v>
      </c>
      <c r="M205" s="82">
        <f t="shared" si="109"/>
        <v>127500</v>
      </c>
      <c r="N205" s="84">
        <f t="shared" si="111"/>
        <v>498.046875</v>
      </c>
    </row>
    <row r="206">
      <c r="A206" s="81"/>
      <c r="B206" s="82"/>
      <c r="C206" s="83">
        <f t="shared" si="110"/>
        <v>32</v>
      </c>
      <c r="D206" s="83">
        <v>8.0</v>
      </c>
      <c r="E206" s="83" t="s">
        <v>347</v>
      </c>
      <c r="F206" s="83" t="s">
        <v>348</v>
      </c>
      <c r="G206" s="83" t="s">
        <v>223</v>
      </c>
      <c r="H206" s="83" t="s">
        <v>244</v>
      </c>
      <c r="I206" s="83">
        <v>500.0</v>
      </c>
      <c r="J206" s="83">
        <v>0.0</v>
      </c>
      <c r="K206" s="83" t="s">
        <v>340</v>
      </c>
      <c r="L206" s="82">
        <f t="shared" si="108"/>
        <v>0</v>
      </c>
      <c r="M206" s="82">
        <f t="shared" si="109"/>
        <v>127500</v>
      </c>
      <c r="N206" s="84">
        <f t="shared" si="111"/>
        <v>498.046875</v>
      </c>
    </row>
    <row r="207">
      <c r="A207" s="81"/>
      <c r="B207" s="82"/>
      <c r="C207" s="83">
        <f t="shared" si="110"/>
        <v>40</v>
      </c>
      <c r="D207" s="83">
        <v>8.0</v>
      </c>
      <c r="E207" s="83" t="s">
        <v>349</v>
      </c>
      <c r="F207" s="83" t="s">
        <v>350</v>
      </c>
      <c r="G207" s="83" t="s">
        <v>223</v>
      </c>
      <c r="H207" s="83" t="s">
        <v>244</v>
      </c>
      <c r="I207" s="83">
        <v>500.0</v>
      </c>
      <c r="J207" s="83">
        <v>0.0</v>
      </c>
      <c r="K207" s="83" t="s">
        <v>340</v>
      </c>
      <c r="L207" s="82">
        <f t="shared" si="108"/>
        <v>0</v>
      </c>
      <c r="M207" s="82">
        <f t="shared" si="109"/>
        <v>127500</v>
      </c>
      <c r="N207" s="84">
        <f t="shared" si="111"/>
        <v>498.046875</v>
      </c>
    </row>
    <row r="208">
      <c r="A208" s="81"/>
      <c r="B208" s="82"/>
      <c r="C208" s="83">
        <f t="shared" si="110"/>
        <v>48</v>
      </c>
      <c r="D208" s="83">
        <v>12.0</v>
      </c>
      <c r="E208" s="83" t="s">
        <v>351</v>
      </c>
      <c r="F208" s="83" t="s">
        <v>352</v>
      </c>
      <c r="G208" s="83" t="s">
        <v>223</v>
      </c>
      <c r="H208" s="83" t="s">
        <v>244</v>
      </c>
      <c r="I208" s="83">
        <v>4.0</v>
      </c>
      <c r="J208" s="83">
        <v>0.0</v>
      </c>
      <c r="K208" s="83" t="s">
        <v>353</v>
      </c>
      <c r="L208" s="82">
        <f t="shared" si="108"/>
        <v>0</v>
      </c>
      <c r="M208" s="82">
        <f t="shared" si="109"/>
        <v>16380</v>
      </c>
      <c r="N208" s="84">
        <f t="shared" si="111"/>
        <v>3.999023438</v>
      </c>
    </row>
    <row r="209">
      <c r="A209" s="81"/>
      <c r="B209" s="82"/>
      <c r="C209" s="83">
        <f t="shared" si="110"/>
        <v>60</v>
      </c>
      <c r="D209" s="83">
        <v>4.0</v>
      </c>
      <c r="E209" s="83" t="s">
        <v>354</v>
      </c>
      <c r="F209" s="83" t="s">
        <v>355</v>
      </c>
      <c r="G209" s="83" t="s">
        <v>223</v>
      </c>
      <c r="H209" s="83" t="s">
        <v>244</v>
      </c>
      <c r="I209" s="83">
        <v>1.0</v>
      </c>
      <c r="J209" s="83">
        <v>0.0</v>
      </c>
      <c r="K209" s="82"/>
      <c r="L209" s="82">
        <f t="shared" si="108"/>
        <v>0</v>
      </c>
      <c r="M209" s="82">
        <f t="shared" si="109"/>
        <v>15</v>
      </c>
      <c r="N209" s="84">
        <f t="shared" si="111"/>
        <v>0.9375</v>
      </c>
    </row>
    <row r="210">
      <c r="A210" s="73"/>
      <c r="B210" s="74"/>
      <c r="C210" s="75">
        <f t="shared" si="110"/>
        <v>64</v>
      </c>
      <c r="D210" s="74"/>
      <c r="E210" s="74"/>
      <c r="F210" s="74"/>
      <c r="G210" s="75"/>
      <c r="H210" s="75"/>
      <c r="I210" s="74"/>
      <c r="J210" s="74"/>
      <c r="K210" s="74"/>
      <c r="L210" s="74">
        <f t="shared" si="108"/>
        <v>0</v>
      </c>
      <c r="M210" s="74"/>
      <c r="N210" s="76"/>
    </row>
    <row r="211">
      <c r="A211" s="100"/>
      <c r="B211" s="88"/>
      <c r="C211" s="92"/>
      <c r="D211" s="88"/>
      <c r="E211" s="88"/>
      <c r="F211" s="88"/>
      <c r="G211" s="88"/>
      <c r="H211" s="88"/>
      <c r="I211" s="88"/>
      <c r="J211" s="88"/>
      <c r="K211" s="88"/>
      <c r="L211" s="88"/>
      <c r="M211" s="88"/>
      <c r="N211" s="93"/>
    </row>
    <row r="212">
      <c r="A212" s="69" t="s">
        <v>51</v>
      </c>
      <c r="B212" s="70">
        <v>8.0</v>
      </c>
      <c r="C212" s="70">
        <v>0.0</v>
      </c>
      <c r="D212" s="70">
        <v>8.0</v>
      </c>
      <c r="E212" s="70" t="s">
        <v>338</v>
      </c>
      <c r="F212" s="70" t="s">
        <v>339</v>
      </c>
      <c r="G212" s="70" t="s">
        <v>223</v>
      </c>
      <c r="H212" s="70" t="s">
        <v>244</v>
      </c>
      <c r="I212" s="70">
        <v>50.0</v>
      </c>
      <c r="J212" s="70">
        <v>0.0</v>
      </c>
      <c r="K212" s="70" t="s">
        <v>340</v>
      </c>
      <c r="L212" s="71">
        <f t="shared" ref="L212:L220" si="112">IF(H212="NO", J212, (-(2^(D212-1))+J212)*I212)</f>
        <v>0</v>
      </c>
      <c r="M212" s="71">
        <f t="shared" ref="M212:M219" si="113">IF(H212="NO",(((2^D212)-1+J212)*I212),(((2^(D212-1))-1+J212)*I212))</f>
        <v>12750</v>
      </c>
      <c r="N212" s="72">
        <f>(M212-L212)/(2^(D212-1))</f>
        <v>99.609375</v>
      </c>
    </row>
    <row r="213">
      <c r="A213" s="81"/>
      <c r="B213" s="82"/>
      <c r="C213" s="83">
        <f t="shared" ref="C213:C220" si="114">C212+D212</f>
        <v>8</v>
      </c>
      <c r="D213" s="83">
        <v>8.0</v>
      </c>
      <c r="E213" s="83" t="s">
        <v>341</v>
      </c>
      <c r="F213" s="83" t="s">
        <v>342</v>
      </c>
      <c r="G213" s="83" t="s">
        <v>223</v>
      </c>
      <c r="H213" s="83" t="s">
        <v>244</v>
      </c>
      <c r="I213" s="83">
        <v>50.0</v>
      </c>
      <c r="J213" s="83">
        <v>0.0</v>
      </c>
      <c r="K213" s="83" t="s">
        <v>340</v>
      </c>
      <c r="L213" s="82">
        <f t="shared" si="112"/>
        <v>0</v>
      </c>
      <c r="M213" s="82">
        <f t="shared" si="113"/>
        <v>12750</v>
      </c>
      <c r="N213" s="84">
        <f t="shared" ref="N213:N219" si="115">(M213-L213)/(2^D213)</f>
        <v>49.8046875</v>
      </c>
    </row>
    <row r="214">
      <c r="A214" s="81"/>
      <c r="B214" s="82"/>
      <c r="C214" s="83">
        <f t="shared" si="114"/>
        <v>16</v>
      </c>
      <c r="D214" s="83">
        <v>8.0</v>
      </c>
      <c r="E214" s="83" t="s">
        <v>343</v>
      </c>
      <c r="F214" s="83" t="s">
        <v>344</v>
      </c>
      <c r="G214" s="83" t="s">
        <v>223</v>
      </c>
      <c r="H214" s="83" t="s">
        <v>244</v>
      </c>
      <c r="I214" s="83">
        <v>500.0</v>
      </c>
      <c r="J214" s="83">
        <v>0.0</v>
      </c>
      <c r="K214" s="83" t="s">
        <v>340</v>
      </c>
      <c r="L214" s="82">
        <f t="shared" si="112"/>
        <v>0</v>
      </c>
      <c r="M214" s="82">
        <f t="shared" si="113"/>
        <v>127500</v>
      </c>
      <c r="N214" s="84">
        <f t="shared" si="115"/>
        <v>498.046875</v>
      </c>
    </row>
    <row r="215">
      <c r="A215" s="81"/>
      <c r="B215" s="82"/>
      <c r="C215" s="83">
        <f t="shared" si="114"/>
        <v>24</v>
      </c>
      <c r="D215" s="83">
        <v>8.0</v>
      </c>
      <c r="E215" s="83" t="s">
        <v>345</v>
      </c>
      <c r="F215" s="83" t="s">
        <v>346</v>
      </c>
      <c r="G215" s="83" t="s">
        <v>223</v>
      </c>
      <c r="H215" s="83" t="s">
        <v>244</v>
      </c>
      <c r="I215" s="83">
        <v>500.0</v>
      </c>
      <c r="J215" s="83">
        <v>0.0</v>
      </c>
      <c r="K215" s="83" t="s">
        <v>340</v>
      </c>
      <c r="L215" s="82">
        <f t="shared" si="112"/>
        <v>0</v>
      </c>
      <c r="M215" s="82">
        <f t="shared" si="113"/>
        <v>127500</v>
      </c>
      <c r="N215" s="84">
        <f t="shared" si="115"/>
        <v>498.046875</v>
      </c>
    </row>
    <row r="216">
      <c r="A216" s="81"/>
      <c r="B216" s="82"/>
      <c r="C216" s="83">
        <f t="shared" si="114"/>
        <v>32</v>
      </c>
      <c r="D216" s="83">
        <v>8.0</v>
      </c>
      <c r="E216" s="83" t="s">
        <v>347</v>
      </c>
      <c r="F216" s="83" t="s">
        <v>348</v>
      </c>
      <c r="G216" s="83" t="s">
        <v>223</v>
      </c>
      <c r="H216" s="83" t="s">
        <v>244</v>
      </c>
      <c r="I216" s="83">
        <v>500.0</v>
      </c>
      <c r="J216" s="83">
        <v>0.0</v>
      </c>
      <c r="K216" s="83" t="s">
        <v>340</v>
      </c>
      <c r="L216" s="82">
        <f t="shared" si="112"/>
        <v>0</v>
      </c>
      <c r="M216" s="82">
        <f t="shared" si="113"/>
        <v>127500</v>
      </c>
      <c r="N216" s="84">
        <f t="shared" si="115"/>
        <v>498.046875</v>
      </c>
    </row>
    <row r="217">
      <c r="A217" s="81"/>
      <c r="B217" s="82"/>
      <c r="C217" s="83">
        <f t="shared" si="114"/>
        <v>40</v>
      </c>
      <c r="D217" s="83">
        <v>8.0</v>
      </c>
      <c r="E217" s="83" t="s">
        <v>349</v>
      </c>
      <c r="F217" s="83" t="s">
        <v>350</v>
      </c>
      <c r="G217" s="83" t="s">
        <v>223</v>
      </c>
      <c r="H217" s="83" t="s">
        <v>244</v>
      </c>
      <c r="I217" s="83">
        <v>500.0</v>
      </c>
      <c r="J217" s="83">
        <v>0.0</v>
      </c>
      <c r="K217" s="83" t="s">
        <v>340</v>
      </c>
      <c r="L217" s="82">
        <f t="shared" si="112"/>
        <v>0</v>
      </c>
      <c r="M217" s="82">
        <f t="shared" si="113"/>
        <v>127500</v>
      </c>
      <c r="N217" s="84">
        <f t="shared" si="115"/>
        <v>498.046875</v>
      </c>
    </row>
    <row r="218">
      <c r="A218" s="81"/>
      <c r="B218" s="82"/>
      <c r="C218" s="83">
        <f t="shared" si="114"/>
        <v>48</v>
      </c>
      <c r="D218" s="83">
        <v>12.0</v>
      </c>
      <c r="E218" s="83" t="s">
        <v>351</v>
      </c>
      <c r="F218" s="83" t="s">
        <v>352</v>
      </c>
      <c r="G218" s="83" t="s">
        <v>223</v>
      </c>
      <c r="H218" s="83" t="s">
        <v>244</v>
      </c>
      <c r="I218" s="83">
        <v>4.0</v>
      </c>
      <c r="J218" s="83">
        <v>0.0</v>
      </c>
      <c r="K218" s="83" t="s">
        <v>353</v>
      </c>
      <c r="L218" s="82">
        <f t="shared" si="112"/>
        <v>0</v>
      </c>
      <c r="M218" s="82">
        <f t="shared" si="113"/>
        <v>16380</v>
      </c>
      <c r="N218" s="84">
        <f t="shared" si="115"/>
        <v>3.999023438</v>
      </c>
    </row>
    <row r="219">
      <c r="A219" s="81"/>
      <c r="B219" s="82"/>
      <c r="C219" s="83">
        <f t="shared" si="114"/>
        <v>60</v>
      </c>
      <c r="D219" s="83">
        <v>4.0</v>
      </c>
      <c r="E219" s="83" t="s">
        <v>354</v>
      </c>
      <c r="F219" s="83" t="s">
        <v>355</v>
      </c>
      <c r="G219" s="83" t="s">
        <v>223</v>
      </c>
      <c r="H219" s="83" t="s">
        <v>244</v>
      </c>
      <c r="I219" s="83">
        <v>1.0</v>
      </c>
      <c r="J219" s="83">
        <v>0.0</v>
      </c>
      <c r="K219" s="82"/>
      <c r="L219" s="82">
        <f t="shared" si="112"/>
        <v>0</v>
      </c>
      <c r="M219" s="82">
        <f t="shared" si="113"/>
        <v>15</v>
      </c>
      <c r="N219" s="84">
        <f t="shared" si="115"/>
        <v>0.9375</v>
      </c>
    </row>
    <row r="220">
      <c r="A220" s="73"/>
      <c r="B220" s="74"/>
      <c r="C220" s="75">
        <f t="shared" si="114"/>
        <v>64</v>
      </c>
      <c r="D220" s="74"/>
      <c r="E220" s="74"/>
      <c r="F220" s="74"/>
      <c r="G220" s="75"/>
      <c r="H220" s="75"/>
      <c r="I220" s="74"/>
      <c r="J220" s="74"/>
      <c r="K220" s="74"/>
      <c r="L220" s="74">
        <f t="shared" si="112"/>
        <v>0</v>
      </c>
      <c r="M220" s="74"/>
      <c r="N220" s="76"/>
    </row>
    <row r="221">
      <c r="A221" s="91"/>
      <c r="B221" s="92"/>
      <c r="C221" s="92"/>
      <c r="D221" s="92"/>
      <c r="E221" s="92"/>
      <c r="F221" s="92"/>
      <c r="G221" s="92"/>
      <c r="H221" s="92"/>
      <c r="I221" s="92"/>
      <c r="J221" s="92"/>
      <c r="K221" s="88"/>
      <c r="L221" s="88"/>
      <c r="M221" s="88"/>
      <c r="N221" s="93"/>
    </row>
    <row r="222">
      <c r="A222" s="69" t="s">
        <v>56</v>
      </c>
      <c r="B222" s="70">
        <v>4.0</v>
      </c>
      <c r="C222" s="70">
        <v>0.0</v>
      </c>
      <c r="D222" s="70">
        <v>8.0</v>
      </c>
      <c r="E222" s="70" t="s">
        <v>439</v>
      </c>
      <c r="F222" s="70" t="s">
        <v>440</v>
      </c>
      <c r="G222" s="70" t="s">
        <v>223</v>
      </c>
      <c r="H222" s="70" t="s">
        <v>224</v>
      </c>
      <c r="I222" s="70">
        <v>1.0</v>
      </c>
      <c r="J222" s="70">
        <v>0.0</v>
      </c>
      <c r="K222" s="71"/>
      <c r="L222" s="71">
        <f t="shared" ref="L222:L230" si="116">IF(H222="NO", J222, (-(2^(D222-1))+J222)*I222)</f>
        <v>-128</v>
      </c>
      <c r="M222" s="71">
        <f t="shared" ref="M222:M224" si="117">IF(H222="NO",(((2^D222)-1+J222)*I222),(((2^(D222-1))-1+J222)*I222))</f>
        <v>127</v>
      </c>
      <c r="N222" s="72">
        <f t="shared" ref="N222:N224" si="118">(M222-L222)/(2^D222)</f>
        <v>0.99609375</v>
      </c>
    </row>
    <row r="223">
      <c r="A223" s="81"/>
      <c r="B223" s="82"/>
      <c r="C223" s="82">
        <f t="shared" ref="C223:C230" si="119">C222+D222</f>
        <v>8</v>
      </c>
      <c r="D223" s="83">
        <v>8.0</v>
      </c>
      <c r="E223" s="83" t="s">
        <v>441</v>
      </c>
      <c r="F223" s="83" t="s">
        <v>442</v>
      </c>
      <c r="G223" s="83" t="s">
        <v>223</v>
      </c>
      <c r="H223" s="83" t="s">
        <v>224</v>
      </c>
      <c r="I223" s="83">
        <v>1.0</v>
      </c>
      <c r="J223" s="83">
        <v>0.0</v>
      </c>
      <c r="K223" s="82"/>
      <c r="L223" s="82">
        <f t="shared" si="116"/>
        <v>-128</v>
      </c>
      <c r="M223" s="82">
        <f t="shared" si="117"/>
        <v>127</v>
      </c>
      <c r="N223" s="84">
        <f t="shared" si="118"/>
        <v>0.99609375</v>
      </c>
    </row>
    <row r="224">
      <c r="A224" s="81"/>
      <c r="B224" s="82"/>
      <c r="C224" s="82">
        <f t="shared" si="119"/>
        <v>16</v>
      </c>
      <c r="D224" s="83">
        <v>8.0</v>
      </c>
      <c r="E224" s="83" t="s">
        <v>443</v>
      </c>
      <c r="F224" s="83" t="s">
        <v>444</v>
      </c>
      <c r="G224" s="83" t="s">
        <v>223</v>
      </c>
      <c r="H224" s="83" t="s">
        <v>224</v>
      </c>
      <c r="I224" s="83">
        <v>1.0</v>
      </c>
      <c r="J224" s="83">
        <v>0.0</v>
      </c>
      <c r="K224" s="82"/>
      <c r="L224" s="82">
        <f t="shared" si="116"/>
        <v>-128</v>
      </c>
      <c r="M224" s="82">
        <f t="shared" si="117"/>
        <v>127</v>
      </c>
      <c r="N224" s="84">
        <f t="shared" si="118"/>
        <v>0.99609375</v>
      </c>
    </row>
    <row r="225">
      <c r="A225" s="81"/>
      <c r="B225" s="82"/>
      <c r="C225" s="82">
        <f t="shared" si="119"/>
        <v>24</v>
      </c>
      <c r="D225" s="83">
        <v>4.0</v>
      </c>
      <c r="E225" s="83" t="s">
        <v>273</v>
      </c>
      <c r="F225" s="82"/>
      <c r="G225" s="83" t="s">
        <v>223</v>
      </c>
      <c r="H225" s="83" t="s">
        <v>244</v>
      </c>
      <c r="I225" s="82"/>
      <c r="J225" s="83">
        <v>0.0</v>
      </c>
      <c r="K225" s="82"/>
      <c r="L225" s="82">
        <f t="shared" si="116"/>
        <v>0</v>
      </c>
      <c r="M225" s="82"/>
      <c r="N225" s="84"/>
    </row>
    <row r="226">
      <c r="A226" s="81"/>
      <c r="B226" s="82"/>
      <c r="C226" s="82">
        <f t="shared" si="119"/>
        <v>28</v>
      </c>
      <c r="D226" s="83">
        <v>1.0</v>
      </c>
      <c r="E226" s="83" t="s">
        <v>445</v>
      </c>
      <c r="F226" s="83" t="s">
        <v>446</v>
      </c>
      <c r="G226" s="83" t="s">
        <v>223</v>
      </c>
      <c r="H226" s="83" t="s">
        <v>244</v>
      </c>
      <c r="I226" s="83">
        <v>1.0</v>
      </c>
      <c r="J226" s="83">
        <v>0.0</v>
      </c>
      <c r="K226" s="82"/>
      <c r="L226" s="82">
        <f t="shared" si="116"/>
        <v>0</v>
      </c>
      <c r="M226" s="82">
        <f t="shared" ref="M226:M229" si="120">IF(H226="NO",(((2^D226)-1+J226)*I226),(((2^(D226-1))-1+J226)*I226))</f>
        <v>1</v>
      </c>
      <c r="N226" s="84">
        <f t="shared" ref="N226:N229" si="121">(M226-L226)/(2^D226)</f>
        <v>0.5</v>
      </c>
    </row>
    <row r="227">
      <c r="A227" s="81"/>
      <c r="B227" s="82"/>
      <c r="C227" s="82">
        <f t="shared" si="119"/>
        <v>29</v>
      </c>
      <c r="D227" s="83">
        <v>1.0</v>
      </c>
      <c r="E227" s="83" t="s">
        <v>447</v>
      </c>
      <c r="F227" s="83" t="s">
        <v>448</v>
      </c>
      <c r="G227" s="83" t="s">
        <v>223</v>
      </c>
      <c r="H227" s="83" t="s">
        <v>244</v>
      </c>
      <c r="I227" s="83">
        <v>1.0</v>
      </c>
      <c r="J227" s="83">
        <v>0.0</v>
      </c>
      <c r="K227" s="82"/>
      <c r="L227" s="82">
        <f t="shared" si="116"/>
        <v>0</v>
      </c>
      <c r="M227" s="82">
        <f t="shared" si="120"/>
        <v>1</v>
      </c>
      <c r="N227" s="84">
        <f t="shared" si="121"/>
        <v>0.5</v>
      </c>
    </row>
    <row r="228">
      <c r="A228" s="81"/>
      <c r="B228" s="82"/>
      <c r="C228" s="82">
        <f t="shared" si="119"/>
        <v>30</v>
      </c>
      <c r="D228" s="83">
        <v>1.0</v>
      </c>
      <c r="E228" s="83" t="s">
        <v>449</v>
      </c>
      <c r="F228" s="83" t="s">
        <v>450</v>
      </c>
      <c r="G228" s="83" t="s">
        <v>223</v>
      </c>
      <c r="H228" s="83" t="s">
        <v>244</v>
      </c>
      <c r="I228" s="83">
        <v>1.0</v>
      </c>
      <c r="J228" s="83">
        <v>0.0</v>
      </c>
      <c r="K228" s="82"/>
      <c r="L228" s="82">
        <f t="shared" si="116"/>
        <v>0</v>
      </c>
      <c r="M228" s="82">
        <f t="shared" si="120"/>
        <v>1</v>
      </c>
      <c r="N228" s="84">
        <f t="shared" si="121"/>
        <v>0.5</v>
      </c>
    </row>
    <row r="229">
      <c r="A229" s="81"/>
      <c r="B229" s="82"/>
      <c r="C229" s="82">
        <f t="shared" si="119"/>
        <v>31</v>
      </c>
      <c r="D229" s="83">
        <v>1.0</v>
      </c>
      <c r="E229" s="83" t="s">
        <v>451</v>
      </c>
      <c r="F229" s="83" t="s">
        <v>452</v>
      </c>
      <c r="G229" s="83" t="s">
        <v>223</v>
      </c>
      <c r="H229" s="83" t="s">
        <v>244</v>
      </c>
      <c r="I229" s="83">
        <v>1.0</v>
      </c>
      <c r="J229" s="83">
        <v>0.0</v>
      </c>
      <c r="K229" s="82"/>
      <c r="L229" s="82">
        <f t="shared" si="116"/>
        <v>0</v>
      </c>
      <c r="M229" s="82">
        <f t="shared" si="120"/>
        <v>1</v>
      </c>
      <c r="N229" s="84">
        <f t="shared" si="121"/>
        <v>0.5</v>
      </c>
    </row>
    <row r="230">
      <c r="A230" s="73"/>
      <c r="B230" s="74"/>
      <c r="C230" s="74">
        <f t="shared" si="119"/>
        <v>32</v>
      </c>
      <c r="D230" s="74"/>
      <c r="E230" s="74"/>
      <c r="F230" s="74"/>
      <c r="G230" s="75"/>
      <c r="H230" s="75"/>
      <c r="I230" s="74"/>
      <c r="J230" s="74"/>
      <c r="K230" s="74"/>
      <c r="L230" s="74">
        <f t="shared" si="116"/>
        <v>0</v>
      </c>
      <c r="M230" s="74"/>
      <c r="N230" s="76"/>
    </row>
    <row r="231">
      <c r="A231" s="100"/>
      <c r="B231" s="88"/>
      <c r="C231" s="92"/>
      <c r="D231" s="88"/>
      <c r="E231" s="88"/>
      <c r="F231" s="88"/>
      <c r="G231" s="88"/>
      <c r="H231" s="88"/>
      <c r="I231" s="88"/>
      <c r="J231" s="88"/>
      <c r="K231" s="88"/>
      <c r="L231" s="88"/>
      <c r="M231" s="88"/>
      <c r="N231" s="93"/>
    </row>
    <row r="232">
      <c r="A232" s="69" t="s">
        <v>202</v>
      </c>
      <c r="B232" s="70">
        <v>8.0</v>
      </c>
      <c r="C232" s="70">
        <v>0.0</v>
      </c>
      <c r="D232" s="70">
        <v>8.0</v>
      </c>
      <c r="E232" s="70" t="s">
        <v>338</v>
      </c>
      <c r="F232" s="70" t="s">
        <v>339</v>
      </c>
      <c r="G232" s="70" t="s">
        <v>223</v>
      </c>
      <c r="H232" s="70" t="s">
        <v>244</v>
      </c>
      <c r="I232" s="70">
        <v>50.0</v>
      </c>
      <c r="J232" s="70">
        <v>0.0</v>
      </c>
      <c r="K232" s="70" t="s">
        <v>340</v>
      </c>
      <c r="L232" s="71">
        <f t="shared" ref="L232:L240" si="122">IF(H232="NO", J232, (-(2^(D232-1))+J232)*I232)</f>
        <v>0</v>
      </c>
      <c r="M232" s="71">
        <f t="shared" ref="M232:M239" si="123">IF(H232="NO",(((2^D232)-1+J232)*I232),(((2^(D232-1))-1+J232)*I232))</f>
        <v>12750</v>
      </c>
      <c r="N232" s="72">
        <f>(M232-L232)/(2^(D232-1))</f>
        <v>99.609375</v>
      </c>
    </row>
    <row r="233">
      <c r="A233" s="81"/>
      <c r="B233" s="82"/>
      <c r="C233" s="83">
        <f t="shared" ref="C233:C240" si="124">C232+D232</f>
        <v>8</v>
      </c>
      <c r="D233" s="83">
        <v>8.0</v>
      </c>
      <c r="E233" s="83" t="s">
        <v>341</v>
      </c>
      <c r="F233" s="83" t="s">
        <v>342</v>
      </c>
      <c r="G233" s="83" t="s">
        <v>223</v>
      </c>
      <c r="H233" s="83" t="s">
        <v>244</v>
      </c>
      <c r="I233" s="83">
        <v>50.0</v>
      </c>
      <c r="J233" s="83">
        <v>0.0</v>
      </c>
      <c r="K233" s="83" t="s">
        <v>340</v>
      </c>
      <c r="L233" s="82">
        <f t="shared" si="122"/>
        <v>0</v>
      </c>
      <c r="M233" s="82">
        <f t="shared" si="123"/>
        <v>12750</v>
      </c>
      <c r="N233" s="84">
        <f t="shared" ref="N233:N239" si="125">(M233-L233)/(2^D233)</f>
        <v>49.8046875</v>
      </c>
    </row>
    <row r="234">
      <c r="A234" s="81"/>
      <c r="B234" s="82"/>
      <c r="C234" s="83">
        <f t="shared" si="124"/>
        <v>16</v>
      </c>
      <c r="D234" s="83">
        <v>8.0</v>
      </c>
      <c r="E234" s="83" t="s">
        <v>343</v>
      </c>
      <c r="F234" s="83" t="s">
        <v>344</v>
      </c>
      <c r="G234" s="83" t="s">
        <v>223</v>
      </c>
      <c r="H234" s="83" t="s">
        <v>244</v>
      </c>
      <c r="I234" s="83">
        <v>500.0</v>
      </c>
      <c r="J234" s="83">
        <v>0.0</v>
      </c>
      <c r="K234" s="83" t="s">
        <v>340</v>
      </c>
      <c r="L234" s="82">
        <f t="shared" si="122"/>
        <v>0</v>
      </c>
      <c r="M234" s="82">
        <f t="shared" si="123"/>
        <v>127500</v>
      </c>
      <c r="N234" s="84">
        <f t="shared" si="125"/>
        <v>498.046875</v>
      </c>
    </row>
    <row r="235">
      <c r="A235" s="81"/>
      <c r="B235" s="82"/>
      <c r="C235" s="83">
        <f t="shared" si="124"/>
        <v>24</v>
      </c>
      <c r="D235" s="83">
        <v>8.0</v>
      </c>
      <c r="E235" s="83" t="s">
        <v>345</v>
      </c>
      <c r="F235" s="83" t="s">
        <v>346</v>
      </c>
      <c r="G235" s="83" t="s">
        <v>223</v>
      </c>
      <c r="H235" s="83" t="s">
        <v>244</v>
      </c>
      <c r="I235" s="83">
        <v>500.0</v>
      </c>
      <c r="J235" s="83">
        <v>0.0</v>
      </c>
      <c r="K235" s="83" t="s">
        <v>340</v>
      </c>
      <c r="L235" s="82">
        <f t="shared" si="122"/>
        <v>0</v>
      </c>
      <c r="M235" s="82">
        <f t="shared" si="123"/>
        <v>127500</v>
      </c>
      <c r="N235" s="84">
        <f t="shared" si="125"/>
        <v>498.046875</v>
      </c>
    </row>
    <row r="236">
      <c r="A236" s="81"/>
      <c r="B236" s="82"/>
      <c r="C236" s="83">
        <f t="shared" si="124"/>
        <v>32</v>
      </c>
      <c r="D236" s="83">
        <v>8.0</v>
      </c>
      <c r="E236" s="83" t="s">
        <v>347</v>
      </c>
      <c r="F236" s="83" t="s">
        <v>348</v>
      </c>
      <c r="G236" s="83" t="s">
        <v>223</v>
      </c>
      <c r="H236" s="83" t="s">
        <v>244</v>
      </c>
      <c r="I236" s="83">
        <v>500.0</v>
      </c>
      <c r="J236" s="83">
        <v>0.0</v>
      </c>
      <c r="K236" s="83" t="s">
        <v>340</v>
      </c>
      <c r="L236" s="82">
        <f t="shared" si="122"/>
        <v>0</v>
      </c>
      <c r="M236" s="82">
        <f t="shared" si="123"/>
        <v>127500</v>
      </c>
      <c r="N236" s="84">
        <f t="shared" si="125"/>
        <v>498.046875</v>
      </c>
    </row>
    <row r="237">
      <c r="A237" s="81"/>
      <c r="B237" s="82"/>
      <c r="C237" s="83">
        <f t="shared" si="124"/>
        <v>40</v>
      </c>
      <c r="D237" s="83">
        <v>8.0</v>
      </c>
      <c r="E237" s="83" t="s">
        <v>349</v>
      </c>
      <c r="F237" s="83" t="s">
        <v>350</v>
      </c>
      <c r="G237" s="83" t="s">
        <v>223</v>
      </c>
      <c r="H237" s="83" t="s">
        <v>244</v>
      </c>
      <c r="I237" s="83">
        <v>500.0</v>
      </c>
      <c r="J237" s="83">
        <v>0.0</v>
      </c>
      <c r="K237" s="83" t="s">
        <v>340</v>
      </c>
      <c r="L237" s="82">
        <f t="shared" si="122"/>
        <v>0</v>
      </c>
      <c r="M237" s="82">
        <f t="shared" si="123"/>
        <v>127500</v>
      </c>
      <c r="N237" s="84">
        <f t="shared" si="125"/>
        <v>498.046875</v>
      </c>
    </row>
    <row r="238">
      <c r="A238" s="81"/>
      <c r="B238" s="82"/>
      <c r="C238" s="83">
        <f t="shared" si="124"/>
        <v>48</v>
      </c>
      <c r="D238" s="83">
        <v>12.0</v>
      </c>
      <c r="E238" s="83" t="s">
        <v>351</v>
      </c>
      <c r="F238" s="83" t="s">
        <v>352</v>
      </c>
      <c r="G238" s="83" t="s">
        <v>223</v>
      </c>
      <c r="H238" s="83" t="s">
        <v>244</v>
      </c>
      <c r="I238" s="83">
        <v>4.0</v>
      </c>
      <c r="J238" s="83">
        <v>0.0</v>
      </c>
      <c r="K238" s="83" t="s">
        <v>353</v>
      </c>
      <c r="L238" s="82">
        <f t="shared" si="122"/>
        <v>0</v>
      </c>
      <c r="M238" s="82">
        <f t="shared" si="123"/>
        <v>16380</v>
      </c>
      <c r="N238" s="84">
        <f t="shared" si="125"/>
        <v>3.999023438</v>
      </c>
    </row>
    <row r="239">
      <c r="A239" s="81"/>
      <c r="B239" s="82"/>
      <c r="C239" s="83">
        <f t="shared" si="124"/>
        <v>60</v>
      </c>
      <c r="D239" s="83">
        <v>4.0</v>
      </c>
      <c r="E239" s="83" t="s">
        <v>354</v>
      </c>
      <c r="F239" s="83" t="s">
        <v>355</v>
      </c>
      <c r="G239" s="83" t="s">
        <v>223</v>
      </c>
      <c r="H239" s="83" t="s">
        <v>244</v>
      </c>
      <c r="I239" s="83">
        <v>1.0</v>
      </c>
      <c r="J239" s="83">
        <v>0.0</v>
      </c>
      <c r="K239" s="82"/>
      <c r="L239" s="82">
        <f t="shared" si="122"/>
        <v>0</v>
      </c>
      <c r="M239" s="82">
        <f t="shared" si="123"/>
        <v>15</v>
      </c>
      <c r="N239" s="84">
        <f t="shared" si="125"/>
        <v>0.9375</v>
      </c>
    </row>
    <row r="240">
      <c r="A240" s="73"/>
      <c r="B240" s="74"/>
      <c r="C240" s="75">
        <f t="shared" si="124"/>
        <v>64</v>
      </c>
      <c r="D240" s="74"/>
      <c r="E240" s="74"/>
      <c r="F240" s="74"/>
      <c r="G240" s="75"/>
      <c r="H240" s="75"/>
      <c r="I240" s="74"/>
      <c r="J240" s="74"/>
      <c r="K240" s="74"/>
      <c r="L240" s="74">
        <f t="shared" si="122"/>
        <v>0</v>
      </c>
      <c r="M240" s="74"/>
      <c r="N240" s="76"/>
    </row>
    <row r="241">
      <c r="A241" s="100"/>
      <c r="B241" s="88"/>
      <c r="C241" s="92"/>
      <c r="D241" s="88"/>
      <c r="E241" s="88"/>
      <c r="F241" s="88"/>
      <c r="G241" s="88"/>
      <c r="H241" s="88"/>
      <c r="I241" s="88"/>
      <c r="J241" s="88"/>
      <c r="K241" s="88"/>
      <c r="L241" s="88"/>
      <c r="M241" s="88"/>
      <c r="N241" s="93"/>
    </row>
    <row r="242">
      <c r="A242" s="69" t="s">
        <v>119</v>
      </c>
      <c r="B242" s="70">
        <v>8.0</v>
      </c>
      <c r="C242" s="70">
        <v>0.0</v>
      </c>
      <c r="D242" s="70">
        <v>8.0</v>
      </c>
      <c r="E242" s="70" t="s">
        <v>338</v>
      </c>
      <c r="F242" s="70" t="s">
        <v>339</v>
      </c>
      <c r="G242" s="70" t="s">
        <v>223</v>
      </c>
      <c r="H242" s="70" t="s">
        <v>244</v>
      </c>
      <c r="I242" s="70">
        <v>50.0</v>
      </c>
      <c r="J242" s="70">
        <v>0.0</v>
      </c>
      <c r="K242" s="70" t="s">
        <v>340</v>
      </c>
      <c r="L242" s="71">
        <f t="shared" ref="L242:L250" si="126">IF(H242="NO", J242, (-(2^(D242-1))+J242)*I242)</f>
        <v>0</v>
      </c>
      <c r="M242" s="71">
        <f t="shared" ref="M242:M249" si="127">IF(H242="NO",(((2^D242)-1+J242)*I242),(((2^(D242-1))-1+J242)*I242))</f>
        <v>12750</v>
      </c>
      <c r="N242" s="72">
        <f>(M242-L242)/(2^(D242-1))</f>
        <v>99.609375</v>
      </c>
    </row>
    <row r="243">
      <c r="A243" s="81"/>
      <c r="B243" s="82"/>
      <c r="C243" s="83">
        <f t="shared" ref="C243:C250" si="128">C242+D242</f>
        <v>8</v>
      </c>
      <c r="D243" s="83">
        <v>8.0</v>
      </c>
      <c r="E243" s="83" t="s">
        <v>341</v>
      </c>
      <c r="F243" s="83" t="s">
        <v>342</v>
      </c>
      <c r="G243" s="83" t="s">
        <v>223</v>
      </c>
      <c r="H243" s="83" t="s">
        <v>244</v>
      </c>
      <c r="I243" s="83">
        <v>50.0</v>
      </c>
      <c r="J243" s="83">
        <v>0.0</v>
      </c>
      <c r="K243" s="83" t="s">
        <v>340</v>
      </c>
      <c r="L243" s="82">
        <f t="shared" si="126"/>
        <v>0</v>
      </c>
      <c r="M243" s="82">
        <f t="shared" si="127"/>
        <v>12750</v>
      </c>
      <c r="N243" s="84">
        <f t="shared" ref="N243:N249" si="129">(M243-L243)/(2^D243)</f>
        <v>49.8046875</v>
      </c>
    </row>
    <row r="244">
      <c r="A244" s="81"/>
      <c r="B244" s="82"/>
      <c r="C244" s="83">
        <f t="shared" si="128"/>
        <v>16</v>
      </c>
      <c r="D244" s="83">
        <v>8.0</v>
      </c>
      <c r="E244" s="83" t="s">
        <v>343</v>
      </c>
      <c r="F244" s="83" t="s">
        <v>344</v>
      </c>
      <c r="G244" s="83" t="s">
        <v>223</v>
      </c>
      <c r="H244" s="83" t="s">
        <v>244</v>
      </c>
      <c r="I244" s="83">
        <v>500.0</v>
      </c>
      <c r="J244" s="83">
        <v>0.0</v>
      </c>
      <c r="K244" s="83" t="s">
        <v>340</v>
      </c>
      <c r="L244" s="82">
        <f t="shared" si="126"/>
        <v>0</v>
      </c>
      <c r="M244" s="82">
        <f t="shared" si="127"/>
        <v>127500</v>
      </c>
      <c r="N244" s="84">
        <f t="shared" si="129"/>
        <v>498.046875</v>
      </c>
    </row>
    <row r="245">
      <c r="A245" s="81"/>
      <c r="B245" s="82"/>
      <c r="C245" s="83">
        <f t="shared" si="128"/>
        <v>24</v>
      </c>
      <c r="D245" s="83">
        <v>8.0</v>
      </c>
      <c r="E245" s="83" t="s">
        <v>345</v>
      </c>
      <c r="F245" s="83" t="s">
        <v>346</v>
      </c>
      <c r="G245" s="83" t="s">
        <v>223</v>
      </c>
      <c r="H245" s="83" t="s">
        <v>244</v>
      </c>
      <c r="I245" s="83">
        <v>500.0</v>
      </c>
      <c r="J245" s="83">
        <v>0.0</v>
      </c>
      <c r="K245" s="83" t="s">
        <v>340</v>
      </c>
      <c r="L245" s="82">
        <f t="shared" si="126"/>
        <v>0</v>
      </c>
      <c r="M245" s="82">
        <f t="shared" si="127"/>
        <v>127500</v>
      </c>
      <c r="N245" s="84">
        <f t="shared" si="129"/>
        <v>498.046875</v>
      </c>
    </row>
    <row r="246">
      <c r="A246" s="81"/>
      <c r="B246" s="82"/>
      <c r="C246" s="83">
        <f t="shared" si="128"/>
        <v>32</v>
      </c>
      <c r="D246" s="83">
        <v>8.0</v>
      </c>
      <c r="E246" s="83" t="s">
        <v>347</v>
      </c>
      <c r="F246" s="83" t="s">
        <v>348</v>
      </c>
      <c r="G246" s="83" t="s">
        <v>223</v>
      </c>
      <c r="H246" s="83" t="s">
        <v>244</v>
      </c>
      <c r="I246" s="83">
        <v>500.0</v>
      </c>
      <c r="J246" s="83">
        <v>0.0</v>
      </c>
      <c r="K246" s="83" t="s">
        <v>340</v>
      </c>
      <c r="L246" s="82">
        <f t="shared" si="126"/>
        <v>0</v>
      </c>
      <c r="M246" s="82">
        <f t="shared" si="127"/>
        <v>127500</v>
      </c>
      <c r="N246" s="84">
        <f t="shared" si="129"/>
        <v>498.046875</v>
      </c>
    </row>
    <row r="247">
      <c r="A247" s="81"/>
      <c r="B247" s="82"/>
      <c r="C247" s="83">
        <f t="shared" si="128"/>
        <v>40</v>
      </c>
      <c r="D247" s="83">
        <v>8.0</v>
      </c>
      <c r="E247" s="83" t="s">
        <v>349</v>
      </c>
      <c r="F247" s="83" t="s">
        <v>350</v>
      </c>
      <c r="G247" s="83" t="s">
        <v>223</v>
      </c>
      <c r="H247" s="83" t="s">
        <v>244</v>
      </c>
      <c r="I247" s="83">
        <v>500.0</v>
      </c>
      <c r="J247" s="83">
        <v>0.0</v>
      </c>
      <c r="K247" s="83" t="s">
        <v>340</v>
      </c>
      <c r="L247" s="82">
        <f t="shared" si="126"/>
        <v>0</v>
      </c>
      <c r="M247" s="82">
        <f t="shared" si="127"/>
        <v>127500</v>
      </c>
      <c r="N247" s="84">
        <f t="shared" si="129"/>
        <v>498.046875</v>
      </c>
    </row>
    <row r="248">
      <c r="A248" s="81"/>
      <c r="B248" s="82"/>
      <c r="C248" s="83">
        <f t="shared" si="128"/>
        <v>48</v>
      </c>
      <c r="D248" s="83">
        <v>12.0</v>
      </c>
      <c r="E248" s="83" t="s">
        <v>351</v>
      </c>
      <c r="F248" s="83" t="s">
        <v>352</v>
      </c>
      <c r="G248" s="83" t="s">
        <v>223</v>
      </c>
      <c r="H248" s="83" t="s">
        <v>244</v>
      </c>
      <c r="I248" s="83">
        <v>4.0</v>
      </c>
      <c r="J248" s="83">
        <v>0.0</v>
      </c>
      <c r="K248" s="83" t="s">
        <v>353</v>
      </c>
      <c r="L248" s="82">
        <f t="shared" si="126"/>
        <v>0</v>
      </c>
      <c r="M248" s="82">
        <f t="shared" si="127"/>
        <v>16380</v>
      </c>
      <c r="N248" s="84">
        <f t="shared" si="129"/>
        <v>3.999023438</v>
      </c>
    </row>
    <row r="249">
      <c r="A249" s="81"/>
      <c r="B249" s="82"/>
      <c r="C249" s="83">
        <f t="shared" si="128"/>
        <v>60</v>
      </c>
      <c r="D249" s="83">
        <v>4.0</v>
      </c>
      <c r="E249" s="83" t="s">
        <v>354</v>
      </c>
      <c r="F249" s="83" t="s">
        <v>355</v>
      </c>
      <c r="G249" s="83" t="s">
        <v>223</v>
      </c>
      <c r="H249" s="83" t="s">
        <v>244</v>
      </c>
      <c r="I249" s="83">
        <v>1.0</v>
      </c>
      <c r="J249" s="83">
        <v>0.0</v>
      </c>
      <c r="K249" s="82"/>
      <c r="L249" s="82">
        <f t="shared" si="126"/>
        <v>0</v>
      </c>
      <c r="M249" s="82">
        <f t="shared" si="127"/>
        <v>15</v>
      </c>
      <c r="N249" s="84">
        <f t="shared" si="129"/>
        <v>0.9375</v>
      </c>
    </row>
    <row r="250">
      <c r="A250" s="73"/>
      <c r="B250" s="74"/>
      <c r="C250" s="75">
        <f t="shared" si="128"/>
        <v>64</v>
      </c>
      <c r="D250" s="74"/>
      <c r="E250" s="74"/>
      <c r="F250" s="74"/>
      <c r="G250" s="75"/>
      <c r="H250" s="75"/>
      <c r="I250" s="74"/>
      <c r="J250" s="74"/>
      <c r="K250" s="74"/>
      <c r="L250" s="74">
        <f t="shared" si="126"/>
        <v>0</v>
      </c>
      <c r="M250" s="74"/>
      <c r="N250" s="76"/>
    </row>
    <row r="251">
      <c r="A251" s="91"/>
      <c r="B251" s="92"/>
      <c r="C251" s="92"/>
      <c r="D251" s="92"/>
      <c r="E251" s="92"/>
      <c r="F251" s="92"/>
      <c r="G251" s="92"/>
      <c r="H251" s="92"/>
      <c r="I251" s="92"/>
      <c r="J251" s="92"/>
      <c r="K251" s="92"/>
      <c r="L251" s="88"/>
      <c r="M251" s="88"/>
      <c r="N251" s="93"/>
    </row>
    <row r="252">
      <c r="A252" s="69" t="s">
        <v>136</v>
      </c>
      <c r="B252" s="70">
        <v>8.0</v>
      </c>
      <c r="C252" s="70">
        <v>0.0</v>
      </c>
      <c r="D252" s="70">
        <v>16.0</v>
      </c>
      <c r="E252" s="70" t="s">
        <v>453</v>
      </c>
      <c r="F252" s="70" t="s">
        <v>454</v>
      </c>
      <c r="G252" s="70" t="s">
        <v>223</v>
      </c>
      <c r="H252" s="70" t="s">
        <v>244</v>
      </c>
      <c r="I252" s="70">
        <v>0.1</v>
      </c>
      <c r="J252" s="70">
        <v>-100.0</v>
      </c>
      <c r="K252" s="70" t="s">
        <v>412</v>
      </c>
      <c r="L252" s="71">
        <f t="shared" ref="L252:L255" si="130">IF(H252="NO", J252, (-(2^(D252-1))+J252)*I252)</f>
        <v>-100</v>
      </c>
      <c r="M252" s="71">
        <f t="shared" ref="M252:M255" si="131">IF(H252="NO",(((2^D252)-1+J252)*I252),(((2^(D252-1))-1+J252)*I252))</f>
        <v>6543.5</v>
      </c>
      <c r="N252" s="72">
        <f t="shared" ref="N252:N255" si="132">(M252-L252)/(2^D252)</f>
        <v>0.1013717651</v>
      </c>
    </row>
    <row r="253">
      <c r="A253" s="81"/>
      <c r="B253" s="82"/>
      <c r="C253" s="83">
        <v>16.0</v>
      </c>
      <c r="D253" s="83">
        <v>16.0</v>
      </c>
      <c r="E253" s="83" t="s">
        <v>455</v>
      </c>
      <c r="F253" s="83" t="s">
        <v>456</v>
      </c>
      <c r="G253" s="83" t="s">
        <v>223</v>
      </c>
      <c r="H253" s="83" t="s">
        <v>244</v>
      </c>
      <c r="I253" s="83">
        <v>0.1</v>
      </c>
      <c r="J253" s="83">
        <v>-100.0</v>
      </c>
      <c r="K253" s="83" t="s">
        <v>412</v>
      </c>
      <c r="L253" s="82">
        <f t="shared" si="130"/>
        <v>-100</v>
      </c>
      <c r="M253" s="82">
        <f t="shared" si="131"/>
        <v>6543.5</v>
      </c>
      <c r="N253" s="84">
        <f t="shared" si="132"/>
        <v>0.1013717651</v>
      </c>
    </row>
    <row r="254">
      <c r="A254" s="81"/>
      <c r="B254" s="82"/>
      <c r="C254" s="83">
        <v>32.0</v>
      </c>
      <c r="D254" s="83">
        <v>16.0</v>
      </c>
      <c r="E254" s="83" t="s">
        <v>457</v>
      </c>
      <c r="F254" s="83" t="s">
        <v>458</v>
      </c>
      <c r="G254" s="83" t="s">
        <v>223</v>
      </c>
      <c r="H254" s="83" t="s">
        <v>244</v>
      </c>
      <c r="I254" s="83">
        <v>0.1</v>
      </c>
      <c r="J254" s="83">
        <v>-100.0</v>
      </c>
      <c r="K254" s="83" t="s">
        <v>412</v>
      </c>
      <c r="L254" s="82">
        <f t="shared" si="130"/>
        <v>-100</v>
      </c>
      <c r="M254" s="82">
        <f t="shared" si="131"/>
        <v>6543.5</v>
      </c>
      <c r="N254" s="84">
        <f t="shared" si="132"/>
        <v>0.1013717651</v>
      </c>
    </row>
    <row r="255">
      <c r="A255" s="81"/>
      <c r="B255" s="82"/>
      <c r="C255" s="83">
        <v>48.0</v>
      </c>
      <c r="D255" s="83">
        <v>16.0</v>
      </c>
      <c r="E255" s="83" t="s">
        <v>459</v>
      </c>
      <c r="F255" s="83" t="s">
        <v>460</v>
      </c>
      <c r="G255" s="83" t="s">
        <v>223</v>
      </c>
      <c r="H255" s="83" t="s">
        <v>244</v>
      </c>
      <c r="I255" s="83">
        <v>0.1</v>
      </c>
      <c r="J255" s="83">
        <v>-100.0</v>
      </c>
      <c r="K255" s="83" t="s">
        <v>412</v>
      </c>
      <c r="L255" s="82">
        <f t="shared" si="130"/>
        <v>-100</v>
      </c>
      <c r="M255" s="82">
        <f t="shared" si="131"/>
        <v>6543.5</v>
      </c>
      <c r="N255" s="84">
        <f t="shared" si="132"/>
        <v>0.1013717651</v>
      </c>
    </row>
    <row r="256">
      <c r="A256" s="73"/>
      <c r="B256" s="74"/>
      <c r="C256" s="75">
        <v>64.0</v>
      </c>
      <c r="D256" s="74"/>
      <c r="E256" s="74"/>
      <c r="F256" s="74"/>
      <c r="G256" s="75"/>
      <c r="H256" s="75"/>
      <c r="I256" s="74"/>
      <c r="J256" s="74"/>
      <c r="K256" s="74"/>
      <c r="L256" s="74"/>
      <c r="M256" s="74"/>
      <c r="N256" s="135"/>
    </row>
    <row r="257">
      <c r="A257" s="91"/>
      <c r="B257" s="92"/>
      <c r="C257" s="92"/>
      <c r="D257" s="92"/>
      <c r="E257" s="92"/>
      <c r="F257" s="92"/>
      <c r="G257" s="92"/>
      <c r="H257" s="92"/>
      <c r="I257" s="92"/>
      <c r="J257" s="92"/>
      <c r="K257" s="92"/>
      <c r="L257" s="88"/>
      <c r="M257" s="88"/>
      <c r="N257" s="93"/>
    </row>
    <row r="258">
      <c r="A258" s="69" t="s">
        <v>140</v>
      </c>
      <c r="B258" s="70">
        <v>8.0</v>
      </c>
      <c r="C258" s="70">
        <v>0.0</v>
      </c>
      <c r="D258" s="70">
        <v>16.0</v>
      </c>
      <c r="E258" s="70" t="s">
        <v>461</v>
      </c>
      <c r="F258" s="70" t="s">
        <v>462</v>
      </c>
      <c r="G258" s="70" t="s">
        <v>223</v>
      </c>
      <c r="H258" s="70" t="s">
        <v>244</v>
      </c>
      <c r="I258" s="70">
        <v>0.1</v>
      </c>
      <c r="J258" s="70">
        <v>-100.0</v>
      </c>
      <c r="K258" s="70" t="s">
        <v>412</v>
      </c>
      <c r="L258" s="71">
        <f t="shared" ref="L258:L261" si="133">IF(H258="NO", J258, (-(2^(D258-1))+J258)*I258)</f>
        <v>-100</v>
      </c>
      <c r="M258" s="71">
        <f t="shared" ref="M258:M261" si="134">IF(H258="NO",(((2^D258)-1+J258)*I258),(((2^(D258-1))-1+J258)*I258))</f>
        <v>6543.5</v>
      </c>
      <c r="N258" s="72">
        <f t="shared" ref="N258:N261" si="135">(M258-L258)/(2^D258)</f>
        <v>0.1013717651</v>
      </c>
    </row>
    <row r="259">
      <c r="A259" s="81"/>
      <c r="B259" s="82"/>
      <c r="C259" s="83">
        <v>16.0</v>
      </c>
      <c r="D259" s="83">
        <v>16.0</v>
      </c>
      <c r="E259" s="83" t="s">
        <v>463</v>
      </c>
      <c r="F259" s="83" t="s">
        <v>464</v>
      </c>
      <c r="G259" s="83" t="s">
        <v>223</v>
      </c>
      <c r="H259" s="83" t="s">
        <v>244</v>
      </c>
      <c r="I259" s="83">
        <v>0.1</v>
      </c>
      <c r="J259" s="83">
        <v>-100.0</v>
      </c>
      <c r="K259" s="83" t="s">
        <v>412</v>
      </c>
      <c r="L259" s="82">
        <f t="shared" si="133"/>
        <v>-100</v>
      </c>
      <c r="M259" s="82">
        <f t="shared" si="134"/>
        <v>6543.5</v>
      </c>
      <c r="N259" s="84">
        <f t="shared" si="135"/>
        <v>0.1013717651</v>
      </c>
    </row>
    <row r="260">
      <c r="A260" s="81"/>
      <c r="B260" s="82"/>
      <c r="C260" s="83">
        <v>32.0</v>
      </c>
      <c r="D260" s="83">
        <v>16.0</v>
      </c>
      <c r="E260" s="83" t="s">
        <v>465</v>
      </c>
      <c r="F260" s="83" t="s">
        <v>466</v>
      </c>
      <c r="G260" s="83" t="s">
        <v>223</v>
      </c>
      <c r="H260" s="83" t="s">
        <v>244</v>
      </c>
      <c r="I260" s="83">
        <v>0.1</v>
      </c>
      <c r="J260" s="83">
        <v>-100.0</v>
      </c>
      <c r="K260" s="83" t="s">
        <v>412</v>
      </c>
      <c r="L260" s="82">
        <f t="shared" si="133"/>
        <v>-100</v>
      </c>
      <c r="M260" s="82">
        <f t="shared" si="134"/>
        <v>6543.5</v>
      </c>
      <c r="N260" s="84">
        <f t="shared" si="135"/>
        <v>0.1013717651</v>
      </c>
    </row>
    <row r="261">
      <c r="A261" s="81"/>
      <c r="B261" s="82"/>
      <c r="C261" s="83">
        <v>48.0</v>
      </c>
      <c r="D261" s="83">
        <v>16.0</v>
      </c>
      <c r="E261" s="83" t="s">
        <v>467</v>
      </c>
      <c r="F261" s="83" t="s">
        <v>468</v>
      </c>
      <c r="G261" s="83" t="s">
        <v>223</v>
      </c>
      <c r="H261" s="83" t="s">
        <v>244</v>
      </c>
      <c r="I261" s="83">
        <v>0.1</v>
      </c>
      <c r="J261" s="83">
        <v>-100.0</v>
      </c>
      <c r="K261" s="83" t="s">
        <v>412</v>
      </c>
      <c r="L261" s="82">
        <f t="shared" si="133"/>
        <v>-100</v>
      </c>
      <c r="M261" s="82">
        <f t="shared" si="134"/>
        <v>6543.5</v>
      </c>
      <c r="N261" s="84">
        <f t="shared" si="135"/>
        <v>0.1013717651</v>
      </c>
    </row>
    <row r="262">
      <c r="A262" s="73"/>
      <c r="B262" s="74"/>
      <c r="C262" s="75">
        <v>64.0</v>
      </c>
      <c r="D262" s="74"/>
      <c r="E262" s="74"/>
      <c r="F262" s="74"/>
      <c r="G262" s="75"/>
      <c r="H262" s="75"/>
      <c r="I262" s="74"/>
      <c r="J262" s="74"/>
      <c r="K262" s="74"/>
      <c r="L262" s="74"/>
      <c r="M262" s="74"/>
      <c r="N262" s="135"/>
    </row>
    <row r="263">
      <c r="A263" s="91"/>
      <c r="B263" s="92"/>
      <c r="C263" s="92"/>
      <c r="D263" s="92"/>
      <c r="E263" s="92"/>
      <c r="F263" s="92"/>
      <c r="G263" s="92"/>
      <c r="H263" s="92"/>
      <c r="I263" s="92"/>
      <c r="J263" s="92"/>
      <c r="K263" s="92"/>
      <c r="L263" s="88"/>
      <c r="M263" s="88"/>
      <c r="N263" s="93"/>
    </row>
    <row r="264">
      <c r="A264" s="69" t="s">
        <v>143</v>
      </c>
      <c r="B264" s="70">
        <v>8.0</v>
      </c>
      <c r="C264" s="70">
        <v>0.0</v>
      </c>
      <c r="D264" s="70">
        <v>16.0</v>
      </c>
      <c r="E264" s="70" t="s">
        <v>469</v>
      </c>
      <c r="F264" s="70" t="s">
        <v>470</v>
      </c>
      <c r="G264" s="70" t="s">
        <v>223</v>
      </c>
      <c r="H264" s="70" t="s">
        <v>244</v>
      </c>
      <c r="I264" s="70">
        <v>0.1</v>
      </c>
      <c r="J264" s="70">
        <v>-100.0</v>
      </c>
      <c r="K264" s="70" t="s">
        <v>412</v>
      </c>
      <c r="L264" s="71">
        <f t="shared" ref="L264:L267" si="136">IF(H264="NO", J264, (-(2^(D264-1))+J264)*I264)</f>
        <v>-100</v>
      </c>
      <c r="M264" s="71">
        <f t="shared" ref="M264:M267" si="137">IF(H264="NO",(((2^D264)-1+J264)*I264),(((2^(D264-1))-1+J264)*I264))</f>
        <v>6543.5</v>
      </c>
      <c r="N264" s="72">
        <f t="shared" ref="N264:N267" si="138">(M264-L264)/(2^D264)</f>
        <v>0.1013717651</v>
      </c>
    </row>
    <row r="265">
      <c r="A265" s="81"/>
      <c r="B265" s="82"/>
      <c r="C265" s="83">
        <v>16.0</v>
      </c>
      <c r="D265" s="83">
        <v>16.0</v>
      </c>
      <c r="E265" s="83" t="s">
        <v>471</v>
      </c>
      <c r="F265" s="83" t="s">
        <v>472</v>
      </c>
      <c r="G265" s="83" t="s">
        <v>223</v>
      </c>
      <c r="H265" s="83" t="s">
        <v>244</v>
      </c>
      <c r="I265" s="83">
        <v>0.1</v>
      </c>
      <c r="J265" s="83">
        <v>-100.0</v>
      </c>
      <c r="K265" s="83" t="s">
        <v>412</v>
      </c>
      <c r="L265" s="82">
        <f t="shared" si="136"/>
        <v>-100</v>
      </c>
      <c r="M265" s="82">
        <f t="shared" si="137"/>
        <v>6543.5</v>
      </c>
      <c r="N265" s="84">
        <f t="shared" si="138"/>
        <v>0.1013717651</v>
      </c>
    </row>
    <row r="266">
      <c r="A266" s="81"/>
      <c r="B266" s="82"/>
      <c r="C266" s="83">
        <v>32.0</v>
      </c>
      <c r="D266" s="83">
        <v>16.0</v>
      </c>
      <c r="E266" s="83" t="s">
        <v>473</v>
      </c>
      <c r="F266" s="83" t="s">
        <v>474</v>
      </c>
      <c r="G266" s="83" t="s">
        <v>223</v>
      </c>
      <c r="H266" s="83" t="s">
        <v>244</v>
      </c>
      <c r="I266" s="83">
        <v>0.1</v>
      </c>
      <c r="J266" s="83">
        <v>-100.0</v>
      </c>
      <c r="K266" s="83" t="s">
        <v>412</v>
      </c>
      <c r="L266" s="82">
        <f t="shared" si="136"/>
        <v>-100</v>
      </c>
      <c r="M266" s="82">
        <f t="shared" si="137"/>
        <v>6543.5</v>
      </c>
      <c r="N266" s="84">
        <f t="shared" si="138"/>
        <v>0.1013717651</v>
      </c>
    </row>
    <row r="267">
      <c r="A267" s="81"/>
      <c r="B267" s="82"/>
      <c r="C267" s="83">
        <v>48.0</v>
      </c>
      <c r="D267" s="83">
        <v>16.0</v>
      </c>
      <c r="E267" s="83" t="s">
        <v>475</v>
      </c>
      <c r="F267" s="83" t="s">
        <v>476</v>
      </c>
      <c r="G267" s="83" t="s">
        <v>223</v>
      </c>
      <c r="H267" s="83" t="s">
        <v>244</v>
      </c>
      <c r="I267" s="83">
        <v>0.1</v>
      </c>
      <c r="J267" s="83">
        <v>-100.0</v>
      </c>
      <c r="K267" s="83" t="s">
        <v>412</v>
      </c>
      <c r="L267" s="82">
        <f t="shared" si="136"/>
        <v>-100</v>
      </c>
      <c r="M267" s="82">
        <f t="shared" si="137"/>
        <v>6543.5</v>
      </c>
      <c r="N267" s="84">
        <f t="shared" si="138"/>
        <v>0.1013717651</v>
      </c>
    </row>
    <row r="268">
      <c r="A268" s="73"/>
      <c r="B268" s="74"/>
      <c r="C268" s="75">
        <v>64.0</v>
      </c>
      <c r="D268" s="74"/>
      <c r="E268" s="74"/>
      <c r="F268" s="74"/>
      <c r="G268" s="75"/>
      <c r="H268" s="75"/>
      <c r="I268" s="74"/>
      <c r="J268" s="74"/>
      <c r="K268" s="74"/>
      <c r="L268" s="74"/>
      <c r="M268" s="74"/>
      <c r="N268" s="135"/>
    </row>
    <row r="269">
      <c r="A269" s="91"/>
      <c r="B269" s="92"/>
      <c r="C269" s="92"/>
      <c r="D269" s="92"/>
      <c r="E269" s="92"/>
      <c r="F269" s="92"/>
      <c r="G269" s="92"/>
      <c r="H269" s="92"/>
      <c r="I269" s="92"/>
      <c r="J269" s="92"/>
      <c r="K269" s="92"/>
      <c r="L269" s="88"/>
      <c r="M269" s="88"/>
      <c r="N269" s="93"/>
    </row>
    <row r="270">
      <c r="A270" s="69" t="s">
        <v>146</v>
      </c>
      <c r="B270" s="70">
        <v>8.0</v>
      </c>
      <c r="C270" s="70">
        <v>0.0</v>
      </c>
      <c r="D270" s="70">
        <v>16.0</v>
      </c>
      <c r="E270" s="70" t="s">
        <v>477</v>
      </c>
      <c r="F270" s="70" t="s">
        <v>478</v>
      </c>
      <c r="G270" s="70" t="s">
        <v>223</v>
      </c>
      <c r="H270" s="70" t="s">
        <v>244</v>
      </c>
      <c r="I270" s="70">
        <v>0.1</v>
      </c>
      <c r="J270" s="70">
        <v>-100.0</v>
      </c>
      <c r="K270" s="70" t="s">
        <v>412</v>
      </c>
      <c r="L270" s="71">
        <f t="shared" ref="L270:L273" si="139">IF(H270="NO", J270, (-(2^(D270-1))+J270)*I270)</f>
        <v>-100</v>
      </c>
      <c r="M270" s="71">
        <f t="shared" ref="M270:M273" si="140">IF(H270="NO",(((2^D270)-1+J270)*I270),(((2^(D270-1))-1+J270)*I270))</f>
        <v>6543.5</v>
      </c>
      <c r="N270" s="72">
        <f t="shared" ref="N270:N273" si="141">(M270-L270)/(2^D270)</f>
        <v>0.1013717651</v>
      </c>
    </row>
    <row r="271">
      <c r="A271" s="81"/>
      <c r="B271" s="82"/>
      <c r="C271" s="83">
        <v>16.0</v>
      </c>
      <c r="D271" s="83">
        <v>16.0</v>
      </c>
      <c r="E271" s="83" t="s">
        <v>479</v>
      </c>
      <c r="F271" s="83" t="s">
        <v>480</v>
      </c>
      <c r="G271" s="83" t="s">
        <v>223</v>
      </c>
      <c r="H271" s="83" t="s">
        <v>244</v>
      </c>
      <c r="I271" s="83">
        <v>0.1</v>
      </c>
      <c r="J271" s="83">
        <v>-100.0</v>
      </c>
      <c r="K271" s="83" t="s">
        <v>412</v>
      </c>
      <c r="L271" s="82">
        <f t="shared" si="139"/>
        <v>-100</v>
      </c>
      <c r="M271" s="82">
        <f t="shared" si="140"/>
        <v>6543.5</v>
      </c>
      <c r="N271" s="84">
        <f t="shared" si="141"/>
        <v>0.1013717651</v>
      </c>
    </row>
    <row r="272">
      <c r="A272" s="81"/>
      <c r="B272" s="82"/>
      <c r="C272" s="83">
        <v>32.0</v>
      </c>
      <c r="D272" s="83">
        <v>16.0</v>
      </c>
      <c r="E272" s="83" t="s">
        <v>481</v>
      </c>
      <c r="F272" s="83" t="s">
        <v>482</v>
      </c>
      <c r="G272" s="83" t="s">
        <v>223</v>
      </c>
      <c r="H272" s="83" t="s">
        <v>244</v>
      </c>
      <c r="I272" s="83">
        <v>0.1</v>
      </c>
      <c r="J272" s="83">
        <v>-100.0</v>
      </c>
      <c r="K272" s="83" t="s">
        <v>412</v>
      </c>
      <c r="L272" s="82">
        <f t="shared" si="139"/>
        <v>-100</v>
      </c>
      <c r="M272" s="82">
        <f t="shared" si="140"/>
        <v>6543.5</v>
      </c>
      <c r="N272" s="84">
        <f t="shared" si="141"/>
        <v>0.1013717651</v>
      </c>
    </row>
    <row r="273">
      <c r="A273" s="81"/>
      <c r="B273" s="82"/>
      <c r="C273" s="83">
        <v>48.0</v>
      </c>
      <c r="D273" s="83">
        <v>16.0</v>
      </c>
      <c r="E273" s="83" t="s">
        <v>483</v>
      </c>
      <c r="F273" s="83" t="s">
        <v>484</v>
      </c>
      <c r="G273" s="83" t="s">
        <v>223</v>
      </c>
      <c r="H273" s="83" t="s">
        <v>244</v>
      </c>
      <c r="I273" s="83">
        <v>0.1</v>
      </c>
      <c r="J273" s="83">
        <v>-100.0</v>
      </c>
      <c r="K273" s="83" t="s">
        <v>412</v>
      </c>
      <c r="L273" s="82">
        <f t="shared" si="139"/>
        <v>-100</v>
      </c>
      <c r="M273" s="82">
        <f t="shared" si="140"/>
        <v>6543.5</v>
      </c>
      <c r="N273" s="84">
        <f t="shared" si="141"/>
        <v>0.1013717651</v>
      </c>
    </row>
    <row r="274">
      <c r="A274" s="73"/>
      <c r="B274" s="74"/>
      <c r="C274" s="75">
        <v>64.0</v>
      </c>
      <c r="D274" s="74"/>
      <c r="E274" s="74"/>
      <c r="F274" s="74"/>
      <c r="G274" s="75"/>
      <c r="H274" s="75"/>
      <c r="I274" s="74"/>
      <c r="J274" s="74"/>
      <c r="K274" s="74"/>
      <c r="L274" s="74"/>
      <c r="M274" s="74"/>
      <c r="N274" s="135"/>
    </row>
    <row r="275">
      <c r="A275" s="91"/>
      <c r="B275" s="92"/>
      <c r="C275" s="92"/>
      <c r="D275" s="92"/>
      <c r="E275" s="92"/>
      <c r="F275" s="92"/>
      <c r="G275" s="92"/>
      <c r="H275" s="92"/>
      <c r="I275" s="92"/>
      <c r="J275" s="92"/>
      <c r="K275" s="92"/>
      <c r="L275" s="88"/>
      <c r="M275" s="88"/>
      <c r="N275" s="93"/>
    </row>
    <row r="276">
      <c r="A276" s="69" t="s">
        <v>123</v>
      </c>
      <c r="B276" s="70">
        <v>8.0</v>
      </c>
      <c r="C276" s="70">
        <v>0.0</v>
      </c>
      <c r="D276" s="70">
        <v>16.0</v>
      </c>
      <c r="E276" s="70" t="s">
        <v>485</v>
      </c>
      <c r="F276" s="70" t="s">
        <v>486</v>
      </c>
      <c r="G276" s="70" t="s">
        <v>223</v>
      </c>
      <c r="H276" s="70" t="s">
        <v>244</v>
      </c>
      <c r="I276" s="70">
        <v>0.1</v>
      </c>
      <c r="J276" s="70">
        <v>-100.0</v>
      </c>
      <c r="K276" s="70" t="s">
        <v>412</v>
      </c>
      <c r="L276" s="71">
        <f t="shared" ref="L276:L279" si="142">IF(H276="NO", J276, (-(2^(D276-1))+J276)*I276)</f>
        <v>-100</v>
      </c>
      <c r="M276" s="71">
        <f t="shared" ref="M276:M279" si="143">IF(H276="NO",(((2^D276)-1+J276)*I276),(((2^(D276-1))-1+J276)*I276))</f>
        <v>6543.5</v>
      </c>
      <c r="N276" s="72">
        <f t="shared" ref="N276:N279" si="144">(M276-L276)/(2^D276)</f>
        <v>0.1013717651</v>
      </c>
    </row>
    <row r="277">
      <c r="A277" s="81"/>
      <c r="B277" s="82"/>
      <c r="C277" s="83">
        <v>16.0</v>
      </c>
      <c r="D277" s="83">
        <v>16.0</v>
      </c>
      <c r="E277" s="83" t="s">
        <v>487</v>
      </c>
      <c r="F277" s="83" t="s">
        <v>488</v>
      </c>
      <c r="G277" s="83" t="s">
        <v>223</v>
      </c>
      <c r="H277" s="83" t="s">
        <v>244</v>
      </c>
      <c r="I277" s="83">
        <v>0.1</v>
      </c>
      <c r="J277" s="83">
        <v>-100.0</v>
      </c>
      <c r="K277" s="83" t="s">
        <v>412</v>
      </c>
      <c r="L277" s="82">
        <f t="shared" si="142"/>
        <v>-100</v>
      </c>
      <c r="M277" s="82">
        <f t="shared" si="143"/>
        <v>6543.5</v>
      </c>
      <c r="N277" s="84">
        <f t="shared" si="144"/>
        <v>0.1013717651</v>
      </c>
    </row>
    <row r="278">
      <c r="A278" s="81"/>
      <c r="B278" s="82"/>
      <c r="C278" s="83">
        <v>32.0</v>
      </c>
      <c r="D278" s="83">
        <v>16.0</v>
      </c>
      <c r="E278" s="83" t="s">
        <v>489</v>
      </c>
      <c r="F278" s="83" t="s">
        <v>490</v>
      </c>
      <c r="G278" s="83" t="s">
        <v>223</v>
      </c>
      <c r="H278" s="83" t="s">
        <v>244</v>
      </c>
      <c r="I278" s="83">
        <v>0.1</v>
      </c>
      <c r="J278" s="83">
        <v>-100.0</v>
      </c>
      <c r="K278" s="83" t="s">
        <v>412</v>
      </c>
      <c r="L278" s="82">
        <f t="shared" si="142"/>
        <v>-100</v>
      </c>
      <c r="M278" s="82">
        <f t="shared" si="143"/>
        <v>6543.5</v>
      </c>
      <c r="N278" s="84">
        <f t="shared" si="144"/>
        <v>0.1013717651</v>
      </c>
    </row>
    <row r="279">
      <c r="A279" s="81"/>
      <c r="B279" s="82"/>
      <c r="C279" s="83">
        <v>48.0</v>
      </c>
      <c r="D279" s="83">
        <v>16.0</v>
      </c>
      <c r="E279" s="83" t="s">
        <v>491</v>
      </c>
      <c r="F279" s="83" t="s">
        <v>492</v>
      </c>
      <c r="G279" s="83" t="s">
        <v>223</v>
      </c>
      <c r="H279" s="83" t="s">
        <v>244</v>
      </c>
      <c r="I279" s="83">
        <v>0.1</v>
      </c>
      <c r="J279" s="83">
        <v>-100.0</v>
      </c>
      <c r="K279" s="83" t="s">
        <v>412</v>
      </c>
      <c r="L279" s="82">
        <f t="shared" si="142"/>
        <v>-100</v>
      </c>
      <c r="M279" s="82">
        <f t="shared" si="143"/>
        <v>6543.5</v>
      </c>
      <c r="N279" s="84">
        <f t="shared" si="144"/>
        <v>0.1013717651</v>
      </c>
    </row>
    <row r="280">
      <c r="A280" s="73"/>
      <c r="B280" s="74"/>
      <c r="C280" s="75">
        <v>64.0</v>
      </c>
      <c r="D280" s="74"/>
      <c r="E280" s="74"/>
      <c r="F280" s="74"/>
      <c r="G280" s="75"/>
      <c r="H280" s="75"/>
      <c r="I280" s="74"/>
      <c r="J280" s="74"/>
      <c r="K280" s="74"/>
      <c r="L280" s="74"/>
      <c r="M280" s="74"/>
      <c r="N280" s="135"/>
    </row>
    <row r="281">
      <c r="A281" s="91"/>
      <c r="B281" s="92"/>
      <c r="C281" s="92"/>
      <c r="D281" s="92"/>
      <c r="E281" s="92"/>
      <c r="F281" s="92"/>
      <c r="G281" s="92"/>
      <c r="H281" s="92"/>
      <c r="I281" s="92"/>
      <c r="J281" s="92"/>
      <c r="K281" s="92"/>
      <c r="L281" s="88"/>
      <c r="M281" s="88"/>
      <c r="N281" s="93"/>
    </row>
    <row r="282">
      <c r="A282" s="69" t="s">
        <v>127</v>
      </c>
      <c r="B282" s="70">
        <v>8.0</v>
      </c>
      <c r="C282" s="70">
        <v>0.0</v>
      </c>
      <c r="D282" s="70">
        <v>16.0</v>
      </c>
      <c r="E282" s="70" t="s">
        <v>493</v>
      </c>
      <c r="F282" s="70" t="s">
        <v>494</v>
      </c>
      <c r="G282" s="70" t="s">
        <v>223</v>
      </c>
      <c r="H282" s="70" t="s">
        <v>244</v>
      </c>
      <c r="I282" s="70">
        <v>0.1</v>
      </c>
      <c r="J282" s="70">
        <v>-100.0</v>
      </c>
      <c r="K282" s="70" t="s">
        <v>412</v>
      </c>
      <c r="L282" s="71">
        <f t="shared" ref="L282:L285" si="145">IF(H282="NO", J282, (-(2^(D282-1))+J282)*I282)</f>
        <v>-100</v>
      </c>
      <c r="M282" s="71">
        <f t="shared" ref="M282:M285" si="146">IF(H282="NO",(((2^D282)-1+J282)*I282),(((2^(D282-1))-1+J282)*I282))</f>
        <v>6543.5</v>
      </c>
      <c r="N282" s="72">
        <f t="shared" ref="N282:N285" si="147">(M282-L282)/(2^D282)</f>
        <v>0.1013717651</v>
      </c>
    </row>
    <row r="283">
      <c r="A283" s="81"/>
      <c r="B283" s="82"/>
      <c r="C283" s="83">
        <v>16.0</v>
      </c>
      <c r="D283" s="83">
        <v>16.0</v>
      </c>
      <c r="E283" s="83" t="s">
        <v>495</v>
      </c>
      <c r="F283" s="83" t="s">
        <v>496</v>
      </c>
      <c r="G283" s="83" t="s">
        <v>223</v>
      </c>
      <c r="H283" s="83" t="s">
        <v>244</v>
      </c>
      <c r="I283" s="83">
        <v>0.1</v>
      </c>
      <c r="J283" s="83">
        <v>-100.0</v>
      </c>
      <c r="K283" s="83" t="s">
        <v>412</v>
      </c>
      <c r="L283" s="82">
        <f t="shared" si="145"/>
        <v>-100</v>
      </c>
      <c r="M283" s="82">
        <f t="shared" si="146"/>
        <v>6543.5</v>
      </c>
      <c r="N283" s="84">
        <f t="shared" si="147"/>
        <v>0.1013717651</v>
      </c>
    </row>
    <row r="284">
      <c r="A284" s="81"/>
      <c r="B284" s="82"/>
      <c r="C284" s="83">
        <v>32.0</v>
      </c>
      <c r="D284" s="83">
        <v>16.0</v>
      </c>
      <c r="E284" s="83" t="s">
        <v>497</v>
      </c>
      <c r="F284" s="83" t="s">
        <v>498</v>
      </c>
      <c r="G284" s="83" t="s">
        <v>223</v>
      </c>
      <c r="H284" s="83" t="s">
        <v>244</v>
      </c>
      <c r="I284" s="83">
        <v>0.1</v>
      </c>
      <c r="J284" s="83">
        <v>-100.0</v>
      </c>
      <c r="K284" s="83" t="s">
        <v>412</v>
      </c>
      <c r="L284" s="82">
        <f t="shared" si="145"/>
        <v>-100</v>
      </c>
      <c r="M284" s="82">
        <f t="shared" si="146"/>
        <v>6543.5</v>
      </c>
      <c r="N284" s="84">
        <f t="shared" si="147"/>
        <v>0.1013717651</v>
      </c>
    </row>
    <row r="285">
      <c r="A285" s="81"/>
      <c r="B285" s="82"/>
      <c r="C285" s="83">
        <v>48.0</v>
      </c>
      <c r="D285" s="83">
        <v>16.0</v>
      </c>
      <c r="E285" s="83" t="s">
        <v>499</v>
      </c>
      <c r="F285" s="83" t="s">
        <v>500</v>
      </c>
      <c r="G285" s="83" t="s">
        <v>223</v>
      </c>
      <c r="H285" s="83" t="s">
        <v>244</v>
      </c>
      <c r="I285" s="83">
        <v>0.1</v>
      </c>
      <c r="J285" s="83">
        <v>-100.0</v>
      </c>
      <c r="K285" s="83" t="s">
        <v>412</v>
      </c>
      <c r="L285" s="82">
        <f t="shared" si="145"/>
        <v>-100</v>
      </c>
      <c r="M285" s="82">
        <f t="shared" si="146"/>
        <v>6543.5</v>
      </c>
      <c r="N285" s="84">
        <f t="shared" si="147"/>
        <v>0.1013717651</v>
      </c>
    </row>
    <row r="286">
      <c r="A286" s="73"/>
      <c r="B286" s="74"/>
      <c r="C286" s="75">
        <v>64.0</v>
      </c>
      <c r="D286" s="74"/>
      <c r="E286" s="74"/>
      <c r="F286" s="74"/>
      <c r="G286" s="75"/>
      <c r="H286" s="75"/>
      <c r="I286" s="74"/>
      <c r="J286" s="74"/>
      <c r="K286" s="74"/>
      <c r="L286" s="74"/>
      <c r="M286" s="74"/>
      <c r="N286" s="135"/>
    </row>
    <row r="287">
      <c r="A287" s="91"/>
      <c r="B287" s="92"/>
      <c r="C287" s="92"/>
      <c r="D287" s="92"/>
      <c r="E287" s="92"/>
      <c r="F287" s="92"/>
      <c r="G287" s="92"/>
      <c r="H287" s="92"/>
      <c r="I287" s="92"/>
      <c r="J287" s="92"/>
      <c r="K287" s="92"/>
      <c r="L287" s="88"/>
      <c r="M287" s="88"/>
      <c r="N287" s="93"/>
    </row>
    <row r="288">
      <c r="A288" s="69" t="s">
        <v>130</v>
      </c>
      <c r="B288" s="70">
        <v>8.0</v>
      </c>
      <c r="C288" s="70">
        <v>0.0</v>
      </c>
      <c r="D288" s="70">
        <v>16.0</v>
      </c>
      <c r="E288" s="70" t="s">
        <v>501</v>
      </c>
      <c r="F288" s="70" t="s">
        <v>502</v>
      </c>
      <c r="G288" s="70" t="s">
        <v>223</v>
      </c>
      <c r="H288" s="70" t="s">
        <v>244</v>
      </c>
      <c r="I288" s="70">
        <v>0.1</v>
      </c>
      <c r="J288" s="70">
        <v>-100.0</v>
      </c>
      <c r="K288" s="70" t="s">
        <v>412</v>
      </c>
      <c r="L288" s="71">
        <f t="shared" ref="L288:L291" si="148">IF(H288="NO", J288, (-(2^(D288-1))+J288)*I288)</f>
        <v>-100</v>
      </c>
      <c r="M288" s="71">
        <f t="shared" ref="M288:M291" si="149">IF(H288="NO",(((2^D288)-1+J288)*I288),(((2^(D288-1))-1+J288)*I288))</f>
        <v>6543.5</v>
      </c>
      <c r="N288" s="72">
        <f t="shared" ref="N288:N291" si="150">(M288-L288)/(2^D288)</f>
        <v>0.1013717651</v>
      </c>
    </row>
    <row r="289">
      <c r="A289" s="81"/>
      <c r="B289" s="82"/>
      <c r="C289" s="83">
        <v>16.0</v>
      </c>
      <c r="D289" s="83">
        <v>16.0</v>
      </c>
      <c r="E289" s="83" t="s">
        <v>503</v>
      </c>
      <c r="F289" s="83" t="s">
        <v>504</v>
      </c>
      <c r="G289" s="83" t="s">
        <v>223</v>
      </c>
      <c r="H289" s="83" t="s">
        <v>244</v>
      </c>
      <c r="I289" s="83">
        <v>0.1</v>
      </c>
      <c r="J289" s="83">
        <v>-100.0</v>
      </c>
      <c r="K289" s="83" t="s">
        <v>412</v>
      </c>
      <c r="L289" s="82">
        <f t="shared" si="148"/>
        <v>-100</v>
      </c>
      <c r="M289" s="82">
        <f t="shared" si="149"/>
        <v>6543.5</v>
      </c>
      <c r="N289" s="84">
        <f t="shared" si="150"/>
        <v>0.1013717651</v>
      </c>
    </row>
    <row r="290">
      <c r="A290" s="81"/>
      <c r="B290" s="82"/>
      <c r="C290" s="83">
        <v>32.0</v>
      </c>
      <c r="D290" s="83">
        <v>16.0</v>
      </c>
      <c r="E290" s="83" t="s">
        <v>505</v>
      </c>
      <c r="F290" s="83" t="s">
        <v>506</v>
      </c>
      <c r="G290" s="83" t="s">
        <v>223</v>
      </c>
      <c r="H290" s="83" t="s">
        <v>244</v>
      </c>
      <c r="I290" s="83">
        <v>0.1</v>
      </c>
      <c r="J290" s="83">
        <v>-100.0</v>
      </c>
      <c r="K290" s="83" t="s">
        <v>412</v>
      </c>
      <c r="L290" s="82">
        <f t="shared" si="148"/>
        <v>-100</v>
      </c>
      <c r="M290" s="82">
        <f t="shared" si="149"/>
        <v>6543.5</v>
      </c>
      <c r="N290" s="84">
        <f t="shared" si="150"/>
        <v>0.1013717651</v>
      </c>
    </row>
    <row r="291">
      <c r="A291" s="81"/>
      <c r="B291" s="82"/>
      <c r="C291" s="83">
        <v>48.0</v>
      </c>
      <c r="D291" s="83">
        <v>16.0</v>
      </c>
      <c r="E291" s="83" t="s">
        <v>507</v>
      </c>
      <c r="F291" s="83" t="s">
        <v>508</v>
      </c>
      <c r="G291" s="83" t="s">
        <v>223</v>
      </c>
      <c r="H291" s="83" t="s">
        <v>244</v>
      </c>
      <c r="I291" s="83">
        <v>0.1</v>
      </c>
      <c r="J291" s="83">
        <v>-100.0</v>
      </c>
      <c r="K291" s="83" t="s">
        <v>412</v>
      </c>
      <c r="L291" s="82">
        <f t="shared" si="148"/>
        <v>-100</v>
      </c>
      <c r="M291" s="82">
        <f t="shared" si="149"/>
        <v>6543.5</v>
      </c>
      <c r="N291" s="84">
        <f t="shared" si="150"/>
        <v>0.1013717651</v>
      </c>
    </row>
    <row r="292">
      <c r="A292" s="73"/>
      <c r="B292" s="74"/>
      <c r="C292" s="75">
        <v>64.0</v>
      </c>
      <c r="D292" s="74"/>
      <c r="E292" s="74"/>
      <c r="F292" s="74"/>
      <c r="G292" s="75"/>
      <c r="H292" s="75"/>
      <c r="I292" s="74"/>
      <c r="J292" s="74"/>
      <c r="K292" s="74"/>
      <c r="L292" s="74"/>
      <c r="M292" s="74"/>
      <c r="N292" s="135"/>
    </row>
    <row r="293">
      <c r="A293" s="91"/>
      <c r="B293" s="92"/>
      <c r="C293" s="92"/>
      <c r="D293" s="92"/>
      <c r="E293" s="92"/>
      <c r="F293" s="92"/>
      <c r="G293" s="92"/>
      <c r="H293" s="92"/>
      <c r="I293" s="92"/>
      <c r="J293" s="92"/>
      <c r="K293" s="92"/>
      <c r="L293" s="88"/>
      <c r="M293" s="88"/>
      <c r="N293" s="93"/>
    </row>
    <row r="294">
      <c r="A294" s="69" t="s">
        <v>133</v>
      </c>
      <c r="B294" s="70">
        <v>8.0</v>
      </c>
      <c r="C294" s="70">
        <v>0.0</v>
      </c>
      <c r="D294" s="70">
        <v>16.0</v>
      </c>
      <c r="E294" s="70" t="s">
        <v>509</v>
      </c>
      <c r="F294" s="70" t="s">
        <v>510</v>
      </c>
      <c r="G294" s="70" t="s">
        <v>223</v>
      </c>
      <c r="H294" s="70" t="s">
        <v>244</v>
      </c>
      <c r="I294" s="70">
        <v>0.1</v>
      </c>
      <c r="J294" s="70">
        <v>-100.0</v>
      </c>
      <c r="K294" s="70" t="s">
        <v>412</v>
      </c>
      <c r="L294" s="71">
        <f t="shared" ref="L294:L297" si="151">IF(H294="NO", J294, (-(2^(D294-1))+J294)*I294)</f>
        <v>-100</v>
      </c>
      <c r="M294" s="71">
        <f t="shared" ref="M294:M297" si="152">IF(H294="NO",(((2^D294)-1+J294)*I294),(((2^(D294-1))-1+J294)*I294))</f>
        <v>6543.5</v>
      </c>
      <c r="N294" s="72">
        <f t="shared" ref="N294:N297" si="153">(M294-L294)/(2^D294)</f>
        <v>0.1013717651</v>
      </c>
    </row>
    <row r="295">
      <c r="A295" s="81"/>
      <c r="B295" s="82"/>
      <c r="C295" s="83">
        <v>16.0</v>
      </c>
      <c r="D295" s="83">
        <v>16.0</v>
      </c>
      <c r="E295" s="83" t="s">
        <v>511</v>
      </c>
      <c r="F295" s="83" t="s">
        <v>512</v>
      </c>
      <c r="G295" s="83" t="s">
        <v>223</v>
      </c>
      <c r="H295" s="83" t="s">
        <v>244</v>
      </c>
      <c r="I295" s="83">
        <v>0.1</v>
      </c>
      <c r="J295" s="83">
        <v>-100.0</v>
      </c>
      <c r="K295" s="83" t="s">
        <v>412</v>
      </c>
      <c r="L295" s="82">
        <f t="shared" si="151"/>
        <v>-100</v>
      </c>
      <c r="M295" s="82">
        <f t="shared" si="152"/>
        <v>6543.5</v>
      </c>
      <c r="N295" s="84">
        <f t="shared" si="153"/>
        <v>0.1013717651</v>
      </c>
    </row>
    <row r="296">
      <c r="A296" s="81"/>
      <c r="B296" s="82"/>
      <c r="C296" s="83">
        <v>32.0</v>
      </c>
      <c r="D296" s="83">
        <v>16.0</v>
      </c>
      <c r="E296" s="83" t="s">
        <v>513</v>
      </c>
      <c r="F296" s="83" t="s">
        <v>514</v>
      </c>
      <c r="G296" s="83" t="s">
        <v>223</v>
      </c>
      <c r="H296" s="83" t="s">
        <v>244</v>
      </c>
      <c r="I296" s="83">
        <v>0.1</v>
      </c>
      <c r="J296" s="83">
        <v>-100.0</v>
      </c>
      <c r="K296" s="83" t="s">
        <v>412</v>
      </c>
      <c r="L296" s="82">
        <f t="shared" si="151"/>
        <v>-100</v>
      </c>
      <c r="M296" s="82">
        <f t="shared" si="152"/>
        <v>6543.5</v>
      </c>
      <c r="N296" s="84">
        <f t="shared" si="153"/>
        <v>0.1013717651</v>
      </c>
    </row>
    <row r="297">
      <c r="A297" s="81"/>
      <c r="B297" s="82"/>
      <c r="C297" s="83">
        <v>48.0</v>
      </c>
      <c r="D297" s="83">
        <v>16.0</v>
      </c>
      <c r="E297" s="83" t="s">
        <v>515</v>
      </c>
      <c r="F297" s="83" t="s">
        <v>516</v>
      </c>
      <c r="G297" s="83" t="s">
        <v>223</v>
      </c>
      <c r="H297" s="83" t="s">
        <v>244</v>
      </c>
      <c r="I297" s="83">
        <v>0.1</v>
      </c>
      <c r="J297" s="83">
        <v>-100.0</v>
      </c>
      <c r="K297" s="83" t="s">
        <v>412</v>
      </c>
      <c r="L297" s="82">
        <f t="shared" si="151"/>
        <v>-100</v>
      </c>
      <c r="M297" s="82">
        <f t="shared" si="152"/>
        <v>6543.5</v>
      </c>
      <c r="N297" s="84">
        <f t="shared" si="153"/>
        <v>0.1013717651</v>
      </c>
    </row>
    <row r="298">
      <c r="A298" s="73"/>
      <c r="B298" s="74"/>
      <c r="C298" s="75">
        <v>64.0</v>
      </c>
      <c r="D298" s="74"/>
      <c r="E298" s="74"/>
      <c r="F298" s="74"/>
      <c r="G298" s="75"/>
      <c r="H298" s="75"/>
      <c r="I298" s="74"/>
      <c r="J298" s="74"/>
      <c r="K298" s="74"/>
      <c r="L298" s="74"/>
      <c r="M298" s="74"/>
      <c r="N298" s="135"/>
    </row>
    <row r="299">
      <c r="A299" s="91"/>
      <c r="B299" s="92"/>
      <c r="C299" s="92"/>
      <c r="D299" s="92"/>
      <c r="E299" s="92"/>
      <c r="F299" s="92"/>
      <c r="G299" s="92"/>
      <c r="H299" s="92"/>
      <c r="I299" s="92"/>
      <c r="J299" s="92"/>
      <c r="K299" s="92"/>
      <c r="L299" s="88"/>
      <c r="M299" s="88"/>
      <c r="N299" s="93"/>
    </row>
    <row r="300">
      <c r="A300" s="69" t="s">
        <v>189</v>
      </c>
      <c r="B300" s="70">
        <v>8.0</v>
      </c>
      <c r="C300" s="70">
        <v>0.0</v>
      </c>
      <c r="D300" s="70">
        <v>16.0</v>
      </c>
      <c r="E300" s="70" t="s">
        <v>517</v>
      </c>
      <c r="F300" s="70" t="s">
        <v>518</v>
      </c>
      <c r="G300" s="70" t="s">
        <v>223</v>
      </c>
      <c r="H300" s="70" t="s">
        <v>244</v>
      </c>
      <c r="I300" s="70">
        <v>0.1</v>
      </c>
      <c r="J300" s="70">
        <v>-100.0</v>
      </c>
      <c r="K300" s="70" t="s">
        <v>412</v>
      </c>
      <c r="L300" s="71">
        <f t="shared" ref="L300:L303" si="154">IF(H300="NO", J300, (-(2^(D300-1))+J300)*I300)</f>
        <v>-100</v>
      </c>
      <c r="M300" s="71">
        <f t="shared" ref="M300:M303" si="155">IF(H300="NO",(((2^D300)-1+J300)*I300),(((2^(D300-1))-1+J300)*I300))</f>
        <v>6543.5</v>
      </c>
      <c r="N300" s="72">
        <f t="shared" ref="N300:N303" si="156">(M300-L300)/(2^D300)</f>
        <v>0.1013717651</v>
      </c>
    </row>
    <row r="301">
      <c r="A301" s="81"/>
      <c r="B301" s="82"/>
      <c r="C301" s="83">
        <v>16.0</v>
      </c>
      <c r="D301" s="83">
        <v>16.0</v>
      </c>
      <c r="E301" s="83" t="s">
        <v>519</v>
      </c>
      <c r="F301" s="83" t="s">
        <v>520</v>
      </c>
      <c r="G301" s="83" t="s">
        <v>223</v>
      </c>
      <c r="H301" s="83" t="s">
        <v>244</v>
      </c>
      <c r="I301" s="83">
        <v>0.1</v>
      </c>
      <c r="J301" s="83">
        <v>-100.0</v>
      </c>
      <c r="K301" s="83" t="s">
        <v>412</v>
      </c>
      <c r="L301" s="82">
        <f t="shared" si="154"/>
        <v>-100</v>
      </c>
      <c r="M301" s="82">
        <f t="shared" si="155"/>
        <v>6543.5</v>
      </c>
      <c r="N301" s="84">
        <f t="shared" si="156"/>
        <v>0.1013717651</v>
      </c>
    </row>
    <row r="302">
      <c r="A302" s="81"/>
      <c r="B302" s="82"/>
      <c r="C302" s="83">
        <v>32.0</v>
      </c>
      <c r="D302" s="83">
        <v>16.0</v>
      </c>
      <c r="E302" s="83" t="s">
        <v>521</v>
      </c>
      <c r="F302" s="83" t="s">
        <v>522</v>
      </c>
      <c r="G302" s="83" t="s">
        <v>223</v>
      </c>
      <c r="H302" s="83" t="s">
        <v>244</v>
      </c>
      <c r="I302" s="83">
        <v>0.1</v>
      </c>
      <c r="J302" s="83">
        <v>-100.0</v>
      </c>
      <c r="K302" s="83" t="s">
        <v>412</v>
      </c>
      <c r="L302" s="82">
        <f t="shared" si="154"/>
        <v>-100</v>
      </c>
      <c r="M302" s="82">
        <f t="shared" si="155"/>
        <v>6543.5</v>
      </c>
      <c r="N302" s="84">
        <f t="shared" si="156"/>
        <v>0.1013717651</v>
      </c>
    </row>
    <row r="303">
      <c r="A303" s="81"/>
      <c r="B303" s="82"/>
      <c r="C303" s="83">
        <v>48.0</v>
      </c>
      <c r="D303" s="83">
        <v>16.0</v>
      </c>
      <c r="E303" s="83" t="s">
        <v>523</v>
      </c>
      <c r="F303" s="83" t="s">
        <v>524</v>
      </c>
      <c r="G303" s="83" t="s">
        <v>223</v>
      </c>
      <c r="H303" s="83" t="s">
        <v>244</v>
      </c>
      <c r="I303" s="83">
        <v>0.1</v>
      </c>
      <c r="J303" s="83">
        <v>-100.0</v>
      </c>
      <c r="K303" s="83" t="s">
        <v>412</v>
      </c>
      <c r="L303" s="82">
        <f t="shared" si="154"/>
        <v>-100</v>
      </c>
      <c r="M303" s="82">
        <f t="shared" si="155"/>
        <v>6543.5</v>
      </c>
      <c r="N303" s="84">
        <f t="shared" si="156"/>
        <v>0.1013717651</v>
      </c>
    </row>
    <row r="304">
      <c r="A304" s="73"/>
      <c r="B304" s="74"/>
      <c r="C304" s="75">
        <v>64.0</v>
      </c>
      <c r="D304" s="74"/>
      <c r="E304" s="74"/>
      <c r="F304" s="74"/>
      <c r="G304" s="75"/>
      <c r="H304" s="75"/>
      <c r="I304" s="74"/>
      <c r="J304" s="74"/>
      <c r="K304" s="74"/>
      <c r="L304" s="74"/>
      <c r="M304" s="74"/>
      <c r="N304" s="135"/>
    </row>
    <row r="305">
      <c r="A305" s="91"/>
      <c r="B305" s="92"/>
      <c r="C305" s="92"/>
      <c r="D305" s="92"/>
      <c r="E305" s="92"/>
      <c r="F305" s="92"/>
      <c r="G305" s="92"/>
      <c r="H305" s="92"/>
      <c r="I305" s="92"/>
      <c r="J305" s="92"/>
      <c r="K305" s="92"/>
      <c r="L305" s="88"/>
      <c r="M305" s="88"/>
      <c r="N305" s="93"/>
    </row>
    <row r="306">
      <c r="A306" s="69" t="s">
        <v>193</v>
      </c>
      <c r="B306" s="70">
        <v>8.0</v>
      </c>
      <c r="C306" s="70">
        <v>0.0</v>
      </c>
      <c r="D306" s="70">
        <v>16.0</v>
      </c>
      <c r="E306" s="70" t="s">
        <v>525</v>
      </c>
      <c r="F306" s="70" t="s">
        <v>526</v>
      </c>
      <c r="G306" s="70" t="s">
        <v>223</v>
      </c>
      <c r="H306" s="70" t="s">
        <v>244</v>
      </c>
      <c r="I306" s="70">
        <v>0.1</v>
      </c>
      <c r="J306" s="70">
        <v>-100.0</v>
      </c>
      <c r="K306" s="70" t="s">
        <v>412</v>
      </c>
      <c r="L306" s="71">
        <f t="shared" ref="L306:L309" si="157">IF(H306="NO", J306, (-(2^(D306-1))+J306)*I306)</f>
        <v>-100</v>
      </c>
      <c r="M306" s="71">
        <f t="shared" ref="M306:M309" si="158">IF(H306="NO",(((2^D306)-1+J306)*I306),(((2^(D306-1))-1+J306)*I306))</f>
        <v>6543.5</v>
      </c>
      <c r="N306" s="72">
        <f t="shared" ref="N306:N309" si="159">(M306-L306)/(2^D306)</f>
        <v>0.1013717651</v>
      </c>
    </row>
    <row r="307">
      <c r="A307" s="81"/>
      <c r="B307" s="82"/>
      <c r="C307" s="83">
        <v>16.0</v>
      </c>
      <c r="D307" s="83">
        <v>16.0</v>
      </c>
      <c r="E307" s="83" t="s">
        <v>527</v>
      </c>
      <c r="F307" s="83" t="s">
        <v>528</v>
      </c>
      <c r="G307" s="83" t="s">
        <v>223</v>
      </c>
      <c r="H307" s="83" t="s">
        <v>244</v>
      </c>
      <c r="I307" s="83">
        <v>0.1</v>
      </c>
      <c r="J307" s="83">
        <v>-100.0</v>
      </c>
      <c r="K307" s="83" t="s">
        <v>412</v>
      </c>
      <c r="L307" s="82">
        <f t="shared" si="157"/>
        <v>-100</v>
      </c>
      <c r="M307" s="82">
        <f t="shared" si="158"/>
        <v>6543.5</v>
      </c>
      <c r="N307" s="84">
        <f t="shared" si="159"/>
        <v>0.1013717651</v>
      </c>
    </row>
    <row r="308">
      <c r="A308" s="81"/>
      <c r="B308" s="82"/>
      <c r="C308" s="83">
        <v>32.0</v>
      </c>
      <c r="D308" s="83">
        <v>16.0</v>
      </c>
      <c r="E308" s="83" t="s">
        <v>529</v>
      </c>
      <c r="F308" s="83" t="s">
        <v>530</v>
      </c>
      <c r="G308" s="83" t="s">
        <v>223</v>
      </c>
      <c r="H308" s="83" t="s">
        <v>244</v>
      </c>
      <c r="I308" s="83">
        <v>0.1</v>
      </c>
      <c r="J308" s="83">
        <v>-100.0</v>
      </c>
      <c r="K308" s="83" t="s">
        <v>412</v>
      </c>
      <c r="L308" s="82">
        <f t="shared" si="157"/>
        <v>-100</v>
      </c>
      <c r="M308" s="82">
        <f t="shared" si="158"/>
        <v>6543.5</v>
      </c>
      <c r="N308" s="84">
        <f t="shared" si="159"/>
        <v>0.1013717651</v>
      </c>
    </row>
    <row r="309">
      <c r="A309" s="81"/>
      <c r="B309" s="82"/>
      <c r="C309" s="83">
        <v>48.0</v>
      </c>
      <c r="D309" s="83">
        <v>16.0</v>
      </c>
      <c r="E309" s="83" t="s">
        <v>531</v>
      </c>
      <c r="F309" s="83" t="s">
        <v>532</v>
      </c>
      <c r="G309" s="83" t="s">
        <v>223</v>
      </c>
      <c r="H309" s="83" t="s">
        <v>244</v>
      </c>
      <c r="I309" s="83">
        <v>0.1</v>
      </c>
      <c r="J309" s="83">
        <v>-100.0</v>
      </c>
      <c r="K309" s="83" t="s">
        <v>412</v>
      </c>
      <c r="L309" s="82">
        <f t="shared" si="157"/>
        <v>-100</v>
      </c>
      <c r="M309" s="82">
        <f t="shared" si="158"/>
        <v>6543.5</v>
      </c>
      <c r="N309" s="84">
        <f t="shared" si="159"/>
        <v>0.1013717651</v>
      </c>
    </row>
    <row r="310">
      <c r="A310" s="73"/>
      <c r="B310" s="74"/>
      <c r="C310" s="75">
        <v>64.0</v>
      </c>
      <c r="D310" s="74"/>
      <c r="E310" s="74"/>
      <c r="F310" s="74"/>
      <c r="G310" s="75"/>
      <c r="H310" s="75"/>
      <c r="I310" s="74"/>
      <c r="J310" s="74"/>
      <c r="K310" s="74"/>
      <c r="L310" s="74"/>
      <c r="M310" s="74"/>
      <c r="N310" s="135"/>
    </row>
    <row r="311">
      <c r="A311" s="91"/>
      <c r="B311" s="92"/>
      <c r="C311" s="92"/>
      <c r="D311" s="92"/>
      <c r="E311" s="92"/>
      <c r="F311" s="92"/>
      <c r="G311" s="92"/>
      <c r="H311" s="92"/>
      <c r="I311" s="92"/>
      <c r="J311" s="92"/>
      <c r="K311" s="92"/>
      <c r="L311" s="88"/>
      <c r="M311" s="88"/>
      <c r="N311" s="93"/>
    </row>
    <row r="312">
      <c r="A312" s="69" t="s">
        <v>196</v>
      </c>
      <c r="B312" s="70">
        <v>8.0</v>
      </c>
      <c r="C312" s="70">
        <v>0.0</v>
      </c>
      <c r="D312" s="70">
        <v>16.0</v>
      </c>
      <c r="E312" s="70" t="s">
        <v>533</v>
      </c>
      <c r="F312" s="70" t="s">
        <v>534</v>
      </c>
      <c r="G312" s="70" t="s">
        <v>223</v>
      </c>
      <c r="H312" s="70" t="s">
        <v>244</v>
      </c>
      <c r="I312" s="70">
        <v>0.1</v>
      </c>
      <c r="J312" s="70">
        <v>-100.0</v>
      </c>
      <c r="K312" s="70" t="s">
        <v>412</v>
      </c>
      <c r="L312" s="71">
        <f t="shared" ref="L312:L315" si="160">IF(H312="NO", J312, (-(2^(D312-1))+J312)*I312)</f>
        <v>-100</v>
      </c>
      <c r="M312" s="71">
        <f t="shared" ref="M312:M315" si="161">IF(H312="NO",(((2^D312)-1+J312)*I312),(((2^(D312-1))-1+J312)*I312))</f>
        <v>6543.5</v>
      </c>
      <c r="N312" s="72">
        <f t="shared" ref="N312:N315" si="162">(M312-L312)/(2^D312)</f>
        <v>0.1013717651</v>
      </c>
    </row>
    <row r="313">
      <c r="A313" s="81"/>
      <c r="B313" s="82"/>
      <c r="C313" s="83">
        <v>16.0</v>
      </c>
      <c r="D313" s="83">
        <v>16.0</v>
      </c>
      <c r="E313" s="83" t="s">
        <v>535</v>
      </c>
      <c r="F313" s="83" t="s">
        <v>536</v>
      </c>
      <c r="G313" s="83" t="s">
        <v>223</v>
      </c>
      <c r="H313" s="83" t="s">
        <v>244</v>
      </c>
      <c r="I313" s="83">
        <v>0.1</v>
      </c>
      <c r="J313" s="83">
        <v>-100.0</v>
      </c>
      <c r="K313" s="83" t="s">
        <v>412</v>
      </c>
      <c r="L313" s="82">
        <f t="shared" si="160"/>
        <v>-100</v>
      </c>
      <c r="M313" s="82">
        <f t="shared" si="161"/>
        <v>6543.5</v>
      </c>
      <c r="N313" s="84">
        <f t="shared" si="162"/>
        <v>0.1013717651</v>
      </c>
    </row>
    <row r="314">
      <c r="A314" s="81"/>
      <c r="B314" s="82"/>
      <c r="C314" s="83">
        <v>32.0</v>
      </c>
      <c r="D314" s="83">
        <v>16.0</v>
      </c>
      <c r="E314" s="83" t="s">
        <v>537</v>
      </c>
      <c r="F314" s="83" t="s">
        <v>538</v>
      </c>
      <c r="G314" s="83" t="s">
        <v>223</v>
      </c>
      <c r="H314" s="83" t="s">
        <v>244</v>
      </c>
      <c r="I314" s="83">
        <v>0.1</v>
      </c>
      <c r="J314" s="83">
        <v>-100.0</v>
      </c>
      <c r="K314" s="83" t="s">
        <v>412</v>
      </c>
      <c r="L314" s="82">
        <f t="shared" si="160"/>
        <v>-100</v>
      </c>
      <c r="M314" s="82">
        <f t="shared" si="161"/>
        <v>6543.5</v>
      </c>
      <c r="N314" s="84">
        <f t="shared" si="162"/>
        <v>0.1013717651</v>
      </c>
    </row>
    <row r="315">
      <c r="A315" s="81"/>
      <c r="B315" s="82"/>
      <c r="C315" s="83">
        <v>48.0</v>
      </c>
      <c r="D315" s="83">
        <v>16.0</v>
      </c>
      <c r="E315" s="83" t="s">
        <v>539</v>
      </c>
      <c r="F315" s="83" t="s">
        <v>540</v>
      </c>
      <c r="G315" s="83" t="s">
        <v>223</v>
      </c>
      <c r="H315" s="83" t="s">
        <v>244</v>
      </c>
      <c r="I315" s="83">
        <v>0.1</v>
      </c>
      <c r="J315" s="83">
        <v>-100.0</v>
      </c>
      <c r="K315" s="83" t="s">
        <v>412</v>
      </c>
      <c r="L315" s="82">
        <f t="shared" si="160"/>
        <v>-100</v>
      </c>
      <c r="M315" s="82">
        <f t="shared" si="161"/>
        <v>6543.5</v>
      </c>
      <c r="N315" s="84">
        <f t="shared" si="162"/>
        <v>0.1013717651</v>
      </c>
    </row>
    <row r="316">
      <c r="A316" s="73"/>
      <c r="B316" s="74"/>
      <c r="C316" s="75">
        <v>64.0</v>
      </c>
      <c r="D316" s="74"/>
      <c r="E316" s="74"/>
      <c r="F316" s="74"/>
      <c r="G316" s="75"/>
      <c r="H316" s="75"/>
      <c r="I316" s="74"/>
      <c r="J316" s="74"/>
      <c r="K316" s="74"/>
      <c r="L316" s="74"/>
      <c r="M316" s="74"/>
      <c r="N316" s="135"/>
    </row>
    <row r="317">
      <c r="A317" s="91"/>
      <c r="B317" s="92"/>
      <c r="C317" s="92"/>
      <c r="D317" s="92"/>
      <c r="E317" s="92"/>
      <c r="F317" s="92"/>
      <c r="G317" s="92"/>
      <c r="H317" s="92"/>
      <c r="I317" s="92"/>
      <c r="J317" s="92"/>
      <c r="K317" s="92"/>
      <c r="L317" s="88"/>
      <c r="M317" s="88"/>
      <c r="N317" s="93"/>
    </row>
    <row r="318">
      <c r="A318" s="69" t="s">
        <v>199</v>
      </c>
      <c r="B318" s="70">
        <v>8.0</v>
      </c>
      <c r="C318" s="70">
        <v>0.0</v>
      </c>
      <c r="D318" s="70">
        <v>16.0</v>
      </c>
      <c r="E318" s="70" t="s">
        <v>541</v>
      </c>
      <c r="F318" s="70" t="s">
        <v>542</v>
      </c>
      <c r="G318" s="70" t="s">
        <v>223</v>
      </c>
      <c r="H318" s="70" t="s">
        <v>244</v>
      </c>
      <c r="I318" s="70">
        <v>0.1</v>
      </c>
      <c r="J318" s="70">
        <v>-100.0</v>
      </c>
      <c r="K318" s="70" t="s">
        <v>412</v>
      </c>
      <c r="L318" s="71">
        <f t="shared" ref="L318:L321" si="163">IF(H318="NO", J318, (-(2^(D318-1))+J318)*I318)</f>
        <v>-100</v>
      </c>
      <c r="M318" s="71">
        <f t="shared" ref="M318:M321" si="164">IF(H318="NO",(((2^D318)-1+J318)*I318),(((2^(D318-1))-1+J318)*I318))</f>
        <v>6543.5</v>
      </c>
      <c r="N318" s="72">
        <f t="shared" ref="N318:N321" si="165">(M318-L318)/(2^D318)</f>
        <v>0.1013717651</v>
      </c>
    </row>
    <row r="319">
      <c r="A319" s="81"/>
      <c r="B319" s="82"/>
      <c r="C319" s="83">
        <v>16.0</v>
      </c>
      <c r="D319" s="83">
        <v>16.0</v>
      </c>
      <c r="E319" s="83" t="s">
        <v>543</v>
      </c>
      <c r="F319" s="83" t="s">
        <v>544</v>
      </c>
      <c r="G319" s="83" t="s">
        <v>223</v>
      </c>
      <c r="H319" s="83" t="s">
        <v>244</v>
      </c>
      <c r="I319" s="83">
        <v>0.1</v>
      </c>
      <c r="J319" s="83">
        <v>-100.0</v>
      </c>
      <c r="K319" s="83" t="s">
        <v>412</v>
      </c>
      <c r="L319" s="82">
        <f t="shared" si="163"/>
        <v>-100</v>
      </c>
      <c r="M319" s="82">
        <f t="shared" si="164"/>
        <v>6543.5</v>
      </c>
      <c r="N319" s="84">
        <f t="shared" si="165"/>
        <v>0.1013717651</v>
      </c>
    </row>
    <row r="320">
      <c r="A320" s="81"/>
      <c r="B320" s="82"/>
      <c r="C320" s="83">
        <v>32.0</v>
      </c>
      <c r="D320" s="83">
        <v>16.0</v>
      </c>
      <c r="E320" s="83" t="s">
        <v>545</v>
      </c>
      <c r="F320" s="83" t="s">
        <v>546</v>
      </c>
      <c r="G320" s="83" t="s">
        <v>223</v>
      </c>
      <c r="H320" s="83" t="s">
        <v>244</v>
      </c>
      <c r="I320" s="83">
        <v>0.1</v>
      </c>
      <c r="J320" s="83">
        <v>-100.0</v>
      </c>
      <c r="K320" s="83" t="s">
        <v>412</v>
      </c>
      <c r="L320" s="82">
        <f t="shared" si="163"/>
        <v>-100</v>
      </c>
      <c r="M320" s="82">
        <f t="shared" si="164"/>
        <v>6543.5</v>
      </c>
      <c r="N320" s="84">
        <f t="shared" si="165"/>
        <v>0.1013717651</v>
      </c>
    </row>
    <row r="321">
      <c r="A321" s="81"/>
      <c r="B321" s="82"/>
      <c r="C321" s="83">
        <v>48.0</v>
      </c>
      <c r="D321" s="83">
        <v>16.0</v>
      </c>
      <c r="E321" s="83" t="s">
        <v>547</v>
      </c>
      <c r="F321" s="83" t="s">
        <v>548</v>
      </c>
      <c r="G321" s="83" t="s">
        <v>223</v>
      </c>
      <c r="H321" s="83" t="s">
        <v>244</v>
      </c>
      <c r="I321" s="83">
        <v>0.1</v>
      </c>
      <c r="J321" s="83">
        <v>-100.0</v>
      </c>
      <c r="K321" s="83" t="s">
        <v>412</v>
      </c>
      <c r="L321" s="82">
        <f t="shared" si="163"/>
        <v>-100</v>
      </c>
      <c r="M321" s="82">
        <f t="shared" si="164"/>
        <v>6543.5</v>
      </c>
      <c r="N321" s="84">
        <f t="shared" si="165"/>
        <v>0.1013717651</v>
      </c>
    </row>
    <row r="322">
      <c r="A322" s="73"/>
      <c r="B322" s="74"/>
      <c r="C322" s="75">
        <v>64.0</v>
      </c>
      <c r="D322" s="74"/>
      <c r="E322" s="74"/>
      <c r="F322" s="74"/>
      <c r="G322" s="75"/>
      <c r="H322" s="75"/>
      <c r="I322" s="74"/>
      <c r="J322" s="74"/>
      <c r="K322" s="74"/>
      <c r="L322" s="74"/>
      <c r="M322" s="74"/>
      <c r="N322" s="135"/>
    </row>
    <row r="323">
      <c r="A323" s="91"/>
      <c r="B323" s="92"/>
      <c r="C323" s="92"/>
      <c r="D323" s="92"/>
      <c r="E323" s="92"/>
      <c r="F323" s="92"/>
      <c r="G323" s="92"/>
      <c r="H323" s="92"/>
      <c r="I323" s="92"/>
      <c r="J323" s="92"/>
      <c r="K323" s="92"/>
      <c r="L323" s="88"/>
      <c r="M323" s="88"/>
      <c r="N323" s="93"/>
    </row>
    <row r="324">
      <c r="A324" s="69" t="s">
        <v>176</v>
      </c>
      <c r="B324" s="70">
        <v>8.0</v>
      </c>
      <c r="C324" s="70">
        <v>0.0</v>
      </c>
      <c r="D324" s="70">
        <v>16.0</v>
      </c>
      <c r="E324" s="70" t="s">
        <v>549</v>
      </c>
      <c r="F324" s="70" t="s">
        <v>550</v>
      </c>
      <c r="G324" s="70" t="s">
        <v>223</v>
      </c>
      <c r="H324" s="70" t="s">
        <v>244</v>
      </c>
      <c r="I324" s="70">
        <v>0.1</v>
      </c>
      <c r="J324" s="70">
        <v>-100.0</v>
      </c>
      <c r="K324" s="70" t="s">
        <v>412</v>
      </c>
      <c r="L324" s="71">
        <f t="shared" ref="L324:L327" si="166">IF(H324="NO", J324, (-(2^(D324-1))+J324)*I324)</f>
        <v>-100</v>
      </c>
      <c r="M324" s="71">
        <f t="shared" ref="M324:M327" si="167">IF(H324="NO",(((2^D324)-1+J324)*I324),(((2^(D324-1))-1+J324)*I324))</f>
        <v>6543.5</v>
      </c>
      <c r="N324" s="72">
        <f t="shared" ref="N324:N327" si="168">(M324-L324)/(2^D324)</f>
        <v>0.1013717651</v>
      </c>
    </row>
    <row r="325">
      <c r="A325" s="81"/>
      <c r="B325" s="82"/>
      <c r="C325" s="83">
        <v>16.0</v>
      </c>
      <c r="D325" s="83">
        <v>16.0</v>
      </c>
      <c r="E325" s="83" t="s">
        <v>551</v>
      </c>
      <c r="F325" s="83" t="s">
        <v>552</v>
      </c>
      <c r="G325" s="83" t="s">
        <v>223</v>
      </c>
      <c r="H325" s="83" t="s">
        <v>244</v>
      </c>
      <c r="I325" s="83">
        <v>0.1</v>
      </c>
      <c r="J325" s="83">
        <v>-100.0</v>
      </c>
      <c r="K325" s="83" t="s">
        <v>412</v>
      </c>
      <c r="L325" s="82">
        <f t="shared" si="166"/>
        <v>-100</v>
      </c>
      <c r="M325" s="82">
        <f t="shared" si="167"/>
        <v>6543.5</v>
      </c>
      <c r="N325" s="84">
        <f t="shared" si="168"/>
        <v>0.1013717651</v>
      </c>
    </row>
    <row r="326">
      <c r="A326" s="81"/>
      <c r="B326" s="82"/>
      <c r="C326" s="83">
        <v>32.0</v>
      </c>
      <c r="D326" s="83">
        <v>16.0</v>
      </c>
      <c r="E326" s="83" t="s">
        <v>553</v>
      </c>
      <c r="F326" s="83" t="s">
        <v>554</v>
      </c>
      <c r="G326" s="83" t="s">
        <v>223</v>
      </c>
      <c r="H326" s="83" t="s">
        <v>244</v>
      </c>
      <c r="I326" s="83">
        <v>0.1</v>
      </c>
      <c r="J326" s="83">
        <v>-100.0</v>
      </c>
      <c r="K326" s="83" t="s">
        <v>412</v>
      </c>
      <c r="L326" s="82">
        <f t="shared" si="166"/>
        <v>-100</v>
      </c>
      <c r="M326" s="82">
        <f t="shared" si="167"/>
        <v>6543.5</v>
      </c>
      <c r="N326" s="84">
        <f t="shared" si="168"/>
        <v>0.1013717651</v>
      </c>
    </row>
    <row r="327">
      <c r="A327" s="81"/>
      <c r="B327" s="82"/>
      <c r="C327" s="83">
        <v>48.0</v>
      </c>
      <c r="D327" s="83">
        <v>16.0</v>
      </c>
      <c r="E327" s="83" t="s">
        <v>555</v>
      </c>
      <c r="F327" s="83" t="s">
        <v>556</v>
      </c>
      <c r="G327" s="83" t="s">
        <v>223</v>
      </c>
      <c r="H327" s="83" t="s">
        <v>244</v>
      </c>
      <c r="I327" s="83">
        <v>0.1</v>
      </c>
      <c r="J327" s="83">
        <v>-100.0</v>
      </c>
      <c r="K327" s="83" t="s">
        <v>412</v>
      </c>
      <c r="L327" s="82">
        <f t="shared" si="166"/>
        <v>-100</v>
      </c>
      <c r="M327" s="82">
        <f t="shared" si="167"/>
        <v>6543.5</v>
      </c>
      <c r="N327" s="84">
        <f t="shared" si="168"/>
        <v>0.1013717651</v>
      </c>
    </row>
    <row r="328">
      <c r="A328" s="73"/>
      <c r="B328" s="74"/>
      <c r="C328" s="75">
        <v>64.0</v>
      </c>
      <c r="D328" s="74"/>
      <c r="E328" s="74"/>
      <c r="F328" s="74"/>
      <c r="G328" s="75"/>
      <c r="H328" s="75"/>
      <c r="I328" s="74"/>
      <c r="J328" s="74"/>
      <c r="K328" s="74"/>
      <c r="L328" s="74"/>
      <c r="M328" s="74"/>
      <c r="N328" s="135"/>
    </row>
    <row r="329">
      <c r="A329" s="91"/>
      <c r="B329" s="92"/>
      <c r="C329" s="92"/>
      <c r="D329" s="92"/>
      <c r="E329" s="92"/>
      <c r="F329" s="92"/>
      <c r="G329" s="92"/>
      <c r="H329" s="92"/>
      <c r="I329" s="92"/>
      <c r="J329" s="92"/>
      <c r="K329" s="92"/>
      <c r="L329" s="88"/>
      <c r="M329" s="88"/>
      <c r="N329" s="93"/>
    </row>
    <row r="330">
      <c r="A330" s="69" t="s">
        <v>180</v>
      </c>
      <c r="B330" s="70">
        <v>8.0</v>
      </c>
      <c r="C330" s="70">
        <v>0.0</v>
      </c>
      <c r="D330" s="70">
        <v>16.0</v>
      </c>
      <c r="E330" s="70" t="s">
        <v>557</v>
      </c>
      <c r="F330" s="70" t="s">
        <v>558</v>
      </c>
      <c r="G330" s="70" t="s">
        <v>223</v>
      </c>
      <c r="H330" s="70" t="s">
        <v>244</v>
      </c>
      <c r="I330" s="70">
        <v>0.1</v>
      </c>
      <c r="J330" s="70">
        <v>-100.0</v>
      </c>
      <c r="K330" s="70" t="s">
        <v>412</v>
      </c>
      <c r="L330" s="71">
        <f t="shared" ref="L330:L333" si="169">IF(H330="NO", J330, (-(2^(D330-1))+J330)*I330)</f>
        <v>-100</v>
      </c>
      <c r="M330" s="71">
        <f t="shared" ref="M330:M333" si="170">IF(H330="NO",(((2^D330)-1+J330)*I330),(((2^(D330-1))-1+J330)*I330))</f>
        <v>6543.5</v>
      </c>
      <c r="N330" s="72">
        <f t="shared" ref="N330:N333" si="171">(M330-L330)/(2^D330)</f>
        <v>0.1013717651</v>
      </c>
    </row>
    <row r="331">
      <c r="A331" s="81"/>
      <c r="B331" s="82"/>
      <c r="C331" s="83">
        <v>16.0</v>
      </c>
      <c r="D331" s="83">
        <v>16.0</v>
      </c>
      <c r="E331" s="83" t="s">
        <v>559</v>
      </c>
      <c r="F331" s="83" t="s">
        <v>560</v>
      </c>
      <c r="G331" s="83" t="s">
        <v>223</v>
      </c>
      <c r="H331" s="83" t="s">
        <v>244</v>
      </c>
      <c r="I331" s="83">
        <v>0.1</v>
      </c>
      <c r="J331" s="83">
        <v>-100.0</v>
      </c>
      <c r="K331" s="83" t="s">
        <v>412</v>
      </c>
      <c r="L331" s="82">
        <f t="shared" si="169"/>
        <v>-100</v>
      </c>
      <c r="M331" s="82">
        <f t="shared" si="170"/>
        <v>6543.5</v>
      </c>
      <c r="N331" s="84">
        <f t="shared" si="171"/>
        <v>0.1013717651</v>
      </c>
    </row>
    <row r="332">
      <c r="A332" s="81"/>
      <c r="B332" s="82"/>
      <c r="C332" s="83">
        <v>32.0</v>
      </c>
      <c r="D332" s="83">
        <v>16.0</v>
      </c>
      <c r="E332" s="83" t="s">
        <v>561</v>
      </c>
      <c r="F332" s="83" t="s">
        <v>562</v>
      </c>
      <c r="G332" s="83" t="s">
        <v>223</v>
      </c>
      <c r="H332" s="83" t="s">
        <v>244</v>
      </c>
      <c r="I332" s="83">
        <v>0.1</v>
      </c>
      <c r="J332" s="83">
        <v>-100.0</v>
      </c>
      <c r="K332" s="83" t="s">
        <v>412</v>
      </c>
      <c r="L332" s="82">
        <f t="shared" si="169"/>
        <v>-100</v>
      </c>
      <c r="M332" s="82">
        <f t="shared" si="170"/>
        <v>6543.5</v>
      </c>
      <c r="N332" s="84">
        <f t="shared" si="171"/>
        <v>0.1013717651</v>
      </c>
    </row>
    <row r="333">
      <c r="A333" s="81"/>
      <c r="B333" s="82"/>
      <c r="C333" s="83">
        <v>48.0</v>
      </c>
      <c r="D333" s="83">
        <v>16.0</v>
      </c>
      <c r="E333" s="83" t="s">
        <v>563</v>
      </c>
      <c r="F333" s="83" t="s">
        <v>564</v>
      </c>
      <c r="G333" s="83" t="s">
        <v>223</v>
      </c>
      <c r="H333" s="83" t="s">
        <v>244</v>
      </c>
      <c r="I333" s="83">
        <v>0.1</v>
      </c>
      <c r="J333" s="83">
        <v>-100.0</v>
      </c>
      <c r="K333" s="83" t="s">
        <v>412</v>
      </c>
      <c r="L333" s="82">
        <f t="shared" si="169"/>
        <v>-100</v>
      </c>
      <c r="M333" s="82">
        <f t="shared" si="170"/>
        <v>6543.5</v>
      </c>
      <c r="N333" s="84">
        <f t="shared" si="171"/>
        <v>0.1013717651</v>
      </c>
    </row>
    <row r="334">
      <c r="A334" s="73"/>
      <c r="B334" s="74"/>
      <c r="C334" s="75">
        <v>64.0</v>
      </c>
      <c r="D334" s="74"/>
      <c r="E334" s="74"/>
      <c r="F334" s="74"/>
      <c r="G334" s="75"/>
      <c r="H334" s="75"/>
      <c r="I334" s="74"/>
      <c r="J334" s="74"/>
      <c r="K334" s="74"/>
      <c r="L334" s="74"/>
      <c r="M334" s="74"/>
      <c r="N334" s="135"/>
    </row>
    <row r="335">
      <c r="A335" s="91"/>
      <c r="B335" s="92"/>
      <c r="C335" s="92"/>
      <c r="D335" s="92"/>
      <c r="E335" s="92"/>
      <c r="F335" s="92"/>
      <c r="G335" s="92"/>
      <c r="H335" s="92"/>
      <c r="I335" s="92"/>
      <c r="J335" s="92"/>
      <c r="K335" s="92"/>
      <c r="L335" s="88"/>
      <c r="M335" s="88"/>
      <c r="N335" s="93"/>
    </row>
    <row r="336">
      <c r="A336" s="69" t="s">
        <v>183</v>
      </c>
      <c r="B336" s="70">
        <v>8.0</v>
      </c>
      <c r="C336" s="70">
        <v>0.0</v>
      </c>
      <c r="D336" s="70">
        <v>16.0</v>
      </c>
      <c r="E336" s="70" t="s">
        <v>565</v>
      </c>
      <c r="F336" s="70" t="s">
        <v>566</v>
      </c>
      <c r="G336" s="70" t="s">
        <v>223</v>
      </c>
      <c r="H336" s="70" t="s">
        <v>244</v>
      </c>
      <c r="I336" s="70">
        <v>0.1</v>
      </c>
      <c r="J336" s="70">
        <v>-100.0</v>
      </c>
      <c r="K336" s="70" t="s">
        <v>412</v>
      </c>
      <c r="L336" s="71">
        <f t="shared" ref="L336:L339" si="172">IF(H336="NO", J336, (-(2^(D336-1))+J336)*I336)</f>
        <v>-100</v>
      </c>
      <c r="M336" s="71">
        <f t="shared" ref="M336:M339" si="173">IF(H336="NO",(((2^D336)-1+J336)*I336),(((2^(D336-1))-1+J336)*I336))</f>
        <v>6543.5</v>
      </c>
      <c r="N336" s="72">
        <f t="shared" ref="N336:N339" si="174">(M336-L336)/(2^D336)</f>
        <v>0.1013717651</v>
      </c>
    </row>
    <row r="337">
      <c r="A337" s="81"/>
      <c r="B337" s="82"/>
      <c r="C337" s="83">
        <v>16.0</v>
      </c>
      <c r="D337" s="83">
        <v>16.0</v>
      </c>
      <c r="E337" s="83" t="s">
        <v>567</v>
      </c>
      <c r="F337" s="83" t="s">
        <v>568</v>
      </c>
      <c r="G337" s="83" t="s">
        <v>223</v>
      </c>
      <c r="H337" s="83" t="s">
        <v>244</v>
      </c>
      <c r="I337" s="83">
        <v>0.1</v>
      </c>
      <c r="J337" s="83">
        <v>-100.0</v>
      </c>
      <c r="K337" s="83" t="s">
        <v>412</v>
      </c>
      <c r="L337" s="82">
        <f t="shared" si="172"/>
        <v>-100</v>
      </c>
      <c r="M337" s="82">
        <f t="shared" si="173"/>
        <v>6543.5</v>
      </c>
      <c r="N337" s="84">
        <f t="shared" si="174"/>
        <v>0.1013717651</v>
      </c>
    </row>
    <row r="338">
      <c r="A338" s="81"/>
      <c r="B338" s="82"/>
      <c r="C338" s="83">
        <v>32.0</v>
      </c>
      <c r="D338" s="83">
        <v>16.0</v>
      </c>
      <c r="E338" s="83" t="s">
        <v>569</v>
      </c>
      <c r="F338" s="83" t="s">
        <v>570</v>
      </c>
      <c r="G338" s="83" t="s">
        <v>223</v>
      </c>
      <c r="H338" s="83" t="s">
        <v>244</v>
      </c>
      <c r="I338" s="83">
        <v>0.1</v>
      </c>
      <c r="J338" s="83">
        <v>-100.0</v>
      </c>
      <c r="K338" s="83" t="s">
        <v>412</v>
      </c>
      <c r="L338" s="82">
        <f t="shared" si="172"/>
        <v>-100</v>
      </c>
      <c r="M338" s="82">
        <f t="shared" si="173"/>
        <v>6543.5</v>
      </c>
      <c r="N338" s="84">
        <f t="shared" si="174"/>
        <v>0.1013717651</v>
      </c>
    </row>
    <row r="339">
      <c r="A339" s="81"/>
      <c r="B339" s="82"/>
      <c r="C339" s="83">
        <v>48.0</v>
      </c>
      <c r="D339" s="83">
        <v>16.0</v>
      </c>
      <c r="E339" s="83" t="s">
        <v>571</v>
      </c>
      <c r="F339" s="83" t="s">
        <v>572</v>
      </c>
      <c r="G339" s="83" t="s">
        <v>223</v>
      </c>
      <c r="H339" s="83" t="s">
        <v>244</v>
      </c>
      <c r="I339" s="83">
        <v>0.1</v>
      </c>
      <c r="J339" s="83">
        <v>-100.0</v>
      </c>
      <c r="K339" s="83" t="s">
        <v>412</v>
      </c>
      <c r="L339" s="82">
        <f t="shared" si="172"/>
        <v>-100</v>
      </c>
      <c r="M339" s="82">
        <f t="shared" si="173"/>
        <v>6543.5</v>
      </c>
      <c r="N339" s="84">
        <f t="shared" si="174"/>
        <v>0.1013717651</v>
      </c>
    </row>
    <row r="340">
      <c r="A340" s="73"/>
      <c r="B340" s="74"/>
      <c r="C340" s="75">
        <v>64.0</v>
      </c>
      <c r="D340" s="74"/>
      <c r="E340" s="74"/>
      <c r="F340" s="74"/>
      <c r="G340" s="75"/>
      <c r="H340" s="75"/>
      <c r="I340" s="74"/>
      <c r="J340" s="74"/>
      <c r="K340" s="74"/>
      <c r="L340" s="74"/>
      <c r="M340" s="74"/>
      <c r="N340" s="135"/>
    </row>
    <row r="341">
      <c r="A341" s="91"/>
      <c r="B341" s="92"/>
      <c r="C341" s="92"/>
      <c r="D341" s="92"/>
      <c r="E341" s="92"/>
      <c r="F341" s="92"/>
      <c r="G341" s="92"/>
      <c r="H341" s="92"/>
      <c r="I341" s="92"/>
      <c r="J341" s="92"/>
      <c r="K341" s="92"/>
      <c r="L341" s="88"/>
      <c r="M341" s="88"/>
      <c r="N341" s="93"/>
    </row>
    <row r="342">
      <c r="A342" s="69" t="s">
        <v>186</v>
      </c>
      <c r="B342" s="70">
        <v>8.0</v>
      </c>
      <c r="C342" s="70">
        <v>0.0</v>
      </c>
      <c r="D342" s="70">
        <v>16.0</v>
      </c>
      <c r="E342" s="70" t="s">
        <v>573</v>
      </c>
      <c r="F342" s="70" t="s">
        <v>574</v>
      </c>
      <c r="G342" s="70" t="s">
        <v>223</v>
      </c>
      <c r="H342" s="70" t="s">
        <v>244</v>
      </c>
      <c r="I342" s="70">
        <v>0.1</v>
      </c>
      <c r="J342" s="70">
        <v>-100.0</v>
      </c>
      <c r="K342" s="70" t="s">
        <v>412</v>
      </c>
      <c r="L342" s="71">
        <f t="shared" ref="L342:L345" si="175">IF(H342="NO", J342, (-(2^(D342-1))+J342)*I342)</f>
        <v>-100</v>
      </c>
      <c r="M342" s="71">
        <f t="shared" ref="M342:M345" si="176">IF(H342="NO",(((2^D342)-1+J342)*I342),(((2^(D342-1))-1+J342)*I342))</f>
        <v>6543.5</v>
      </c>
      <c r="N342" s="72">
        <f t="shared" ref="N342:N345" si="177">(M342-L342)/(2^D342)</f>
        <v>0.1013717651</v>
      </c>
    </row>
    <row r="343">
      <c r="A343" s="81"/>
      <c r="B343" s="82"/>
      <c r="C343" s="83">
        <v>16.0</v>
      </c>
      <c r="D343" s="83">
        <v>16.0</v>
      </c>
      <c r="E343" s="83" t="s">
        <v>575</v>
      </c>
      <c r="F343" s="83" t="s">
        <v>576</v>
      </c>
      <c r="G343" s="83" t="s">
        <v>223</v>
      </c>
      <c r="H343" s="83" t="s">
        <v>244</v>
      </c>
      <c r="I343" s="83">
        <v>0.1</v>
      </c>
      <c r="J343" s="83">
        <v>-100.0</v>
      </c>
      <c r="K343" s="83" t="s">
        <v>412</v>
      </c>
      <c r="L343" s="82">
        <f t="shared" si="175"/>
        <v>-100</v>
      </c>
      <c r="M343" s="82">
        <f t="shared" si="176"/>
        <v>6543.5</v>
      </c>
      <c r="N343" s="84">
        <f t="shared" si="177"/>
        <v>0.1013717651</v>
      </c>
    </row>
    <row r="344">
      <c r="A344" s="81"/>
      <c r="B344" s="82"/>
      <c r="C344" s="83">
        <v>32.0</v>
      </c>
      <c r="D344" s="83">
        <v>16.0</v>
      </c>
      <c r="E344" s="83" t="s">
        <v>577</v>
      </c>
      <c r="F344" s="83" t="s">
        <v>578</v>
      </c>
      <c r="G344" s="83" t="s">
        <v>223</v>
      </c>
      <c r="H344" s="83" t="s">
        <v>244</v>
      </c>
      <c r="I344" s="83">
        <v>0.1</v>
      </c>
      <c r="J344" s="83">
        <v>-100.0</v>
      </c>
      <c r="K344" s="83" t="s">
        <v>412</v>
      </c>
      <c r="L344" s="82">
        <f t="shared" si="175"/>
        <v>-100</v>
      </c>
      <c r="M344" s="82">
        <f t="shared" si="176"/>
        <v>6543.5</v>
      </c>
      <c r="N344" s="84">
        <f t="shared" si="177"/>
        <v>0.1013717651</v>
      </c>
    </row>
    <row r="345">
      <c r="A345" s="81"/>
      <c r="B345" s="82"/>
      <c r="C345" s="83">
        <v>48.0</v>
      </c>
      <c r="D345" s="83">
        <v>16.0</v>
      </c>
      <c r="E345" s="83" t="s">
        <v>579</v>
      </c>
      <c r="F345" s="83" t="s">
        <v>580</v>
      </c>
      <c r="G345" s="83" t="s">
        <v>223</v>
      </c>
      <c r="H345" s="83" t="s">
        <v>244</v>
      </c>
      <c r="I345" s="83">
        <v>0.1</v>
      </c>
      <c r="J345" s="83">
        <v>-100.0</v>
      </c>
      <c r="K345" s="83" t="s">
        <v>412</v>
      </c>
      <c r="L345" s="82">
        <f t="shared" si="175"/>
        <v>-100</v>
      </c>
      <c r="M345" s="82">
        <f t="shared" si="176"/>
        <v>6543.5</v>
      </c>
      <c r="N345" s="84">
        <f t="shared" si="177"/>
        <v>0.1013717651</v>
      </c>
    </row>
    <row r="346">
      <c r="A346" s="73"/>
      <c r="B346" s="74"/>
      <c r="C346" s="75">
        <v>64.0</v>
      </c>
      <c r="D346" s="74"/>
      <c r="E346" s="74"/>
      <c r="F346" s="74"/>
      <c r="G346" s="75"/>
      <c r="H346" s="75"/>
      <c r="I346" s="74"/>
      <c r="J346" s="74"/>
      <c r="K346" s="74"/>
      <c r="L346" s="74"/>
      <c r="M346" s="74"/>
      <c r="N346" s="135"/>
    </row>
  </sheetData>
  <mergeCells count="2">
    <mergeCell ref="F73:F76"/>
    <mergeCell ref="F77:F80"/>
  </mergeCells>
  <conditionalFormatting sqref="E1:E1082">
    <cfRule type="expression" dxfId="9" priority="1">
      <formula>len(E1)&gt;32</formula>
    </cfRule>
  </conditionalFormatting>
  <dataValidations>
    <dataValidation type="list" allowBlank="1" showErrorMessage="1" sqref="H3 G4:H4 H6 G7:H7 H9 G10:H10 H12 G13:H13 H15 G16:H16 H18 G19:H19 H21:H25 G26:H26 H28:H29 G30:H30 H32 G33:H33 H35 G36:H36 H38 G39:H39 H41:H42 G43:H43 H45:H48 G49:H49 H51:H53 G54:H54 H56:H58 G59:H59 H61:H64 G65:H65 H67:H68 G69:H69 H71:H95 G96:H96 H98:H105 G106:H106 H108:H115 G116:H116 H118:H126 G127:H127 H129:H136 G137:H137 H139:H146 G147:H147 H149:H153 G154:H154 H155:H160 G161:H161 H162:H167 G168:H168 H170:H173 G174:H174 H176:H179 G180:H180 H182:H185 G186:H186 H188:H191 G192:H192 H194:H199 G200:H200 H202:H209 G210:H210 H212:H219 G220:H220 H222:H229 G230:H230 H232:H239 G240:H240 H242:H249 G250:H250 H252:H255 G256:H256 H258:H261 G262:H262 H264:H267 G268:H268 H270:H273 G274:H274 H276:H279 G280:H280 H282:H285 G286:H286 H288:H291 G292:H292 H294:H297 G298:H298 H300:H303 G304:H304 H306:H309 G310:H310 H312:H315 G316:H316 H318:H321 G322:H322 H324:H327 G328:H328 H330:H333 G334:H334 H336:H339 G340:H340 H342:H345">
      <formula1>"NO,YES"</formula1>
    </dataValidation>
    <dataValidation type="list" allowBlank="1" showErrorMessage="1" sqref="G3 G6 G9 G12 G15 G18 G21:G25 G28:G29 G32 G35 G38 G41:G42 G45:G48 G51:G53 G56:G58 G61:G64 G67:G68 G71:G95 G98:G105 G108:G115 G118:G126 G129:G136 G139:G146 G149:G153 G155:G160 G162:G167 G170:G173 G176:G179 G182:G185 G188:G191 G194:G199 G202:G209 G212:G219 G222:G229 G232:G239 G242:G249 G252:G255 G258:G261 G264:G267 G270:G273 G276:G279 G282:G285 G288:G291 G294:G297 G300:G303 G306:G309 G312:G315 G318:G321 G324:G327 G330:G333 G336:G339 G342:G345">
      <formula1>"MSB First,MSB Last"</formula1>
    </dataValidation>
  </dataValidations>
  <drawing r:id="rId2"/>
  <legacyDrawing r:id="rId3"/>
</worksheet>
</file>